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chedule" sheetId="1" state="visible" r:id="rId1"/>
    <sheet xmlns:r="http://schemas.openxmlformats.org/officeDocument/2006/relationships" name="Prior Period" sheetId="2" state="visible" r:id="rId2"/>
    <sheet xmlns:r="http://schemas.openxmlformats.org/officeDocument/2006/relationships" name="Change Log" sheetId="3" state="visible" r:id="rId3"/>
  </sheets>
  <definedNames>
    <definedName name="TotalEarnedRevenue">'WIP Schedule'!$L$14</definedName>
    <definedName name="NetOverUnder">'WIP Schedule'!$N$14</definedName>
    <definedName name="TotalGrossProfit">'WIP Schedule'!$O$14</definedName>
    <definedName name="TotalBillings">'WIP Schedule'!$M$14</definedName>
    <definedName name="WeightedMargin">'WIP Schedule'!$Q$14</definedName>
    <definedName name="_xlnm._FilterDatabase" localSheetId="0" hidden="1">'WIP Schedule'!$A$6:$V$13</definedName>
    <definedName name="_xlnm.Print_Titles" localSheetId="0">'WIP Schedule'!$1:$6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&quot;-&quot;"/>
    <numFmt numFmtId="167" formatCode="MM/DD/YYYY"/>
  </numFmts>
  <fonts count="13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b val="1"/>
      <color rgb="00111010"/>
      <sz val="10"/>
    </font>
    <font>
      <name val="Inter"/>
      <i val="1"/>
      <color rgb="009a948c"/>
      <sz val="9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7" fontId="6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5" fontId="7" fillId="3" borderId="2" applyAlignment="1" pivotButton="0" quotePrefix="0" xfId="0">
      <alignment horizontal="right" vertical="center" wrapText="1"/>
    </xf>
    <xf numFmtId="166" fontId="7" fillId="3" borderId="2" applyAlignment="1" pivotButton="0" quotePrefix="0" xfId="0">
      <alignment horizontal="right" vertical="center" wrapText="1"/>
    </xf>
    <xf numFmtId="167" fontId="6" fillId="3" borderId="2" applyAlignment="1" pivotButton="0" quotePrefix="0" xfId="0">
      <alignment horizontal="left" vertical="center" wrapText="1"/>
    </xf>
    <xf numFmtId="0" fontId="8" fillId="0" borderId="3" pivotButton="0" quotePrefix="0" xfId="0"/>
    <xf numFmtId="0" fontId="0" fillId="0" borderId="3" pivotButton="0" quotePrefix="0" xfId="0"/>
    <xf numFmtId="164" fontId="8" fillId="0" borderId="3" applyAlignment="1" pivotButton="0" quotePrefix="0" xfId="0">
      <alignment horizontal="right" vertical="center" wrapText="1"/>
    </xf>
    <xf numFmtId="165" fontId="8" fillId="0" borderId="3" applyAlignment="1" pivotButton="0" quotePrefix="0" xfId="0">
      <alignment horizontal="right" vertical="center" wrapText="1"/>
    </xf>
    <xf numFmtId="166" fontId="8" fillId="0" borderId="3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right" vertical="center" wrapText="1"/>
    </xf>
    <xf numFmtId="0" fontId="11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12" fillId="0" borderId="2" pivotButton="0" quotePrefix="0" xfId="0"/>
    <xf numFmtId="164" fontId="12" fillId="0" borderId="2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 wrapText="1"/>
    </xf>
    <xf numFmtId="0" fontId="12" fillId="3" borderId="2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00DC2626"/>
      </font>
      <fill>
        <patternFill patternType="solid">
          <fgColor rgb="00FEE2E2"/>
          <bgColor rgb="00FEE2E2"/>
        </patternFill>
      </fill>
    </dxf>
    <dxf>
      <font>
        <color rgb="00D97706"/>
      </font>
      <fill>
        <patternFill patternType="solid">
          <fgColor rgb="00FEF3C7"/>
          <bgColor rgb="00FEF3C7"/>
        </patternFill>
      </fill>
    </dxf>
    <dxf>
      <font>
        <color rgb="00059669"/>
      </font>
      <fill>
        <patternFill patternType="solid">
          <fgColor rgb="00D1FAE5"/>
          <bgColor rgb="00D1FAE5"/>
        </patternFill>
      </fill>
    </dxf>
    <dxf>
      <font>
        <color rgb="00004085"/>
      </font>
      <fill>
        <patternFill patternType="solid">
          <fgColor rgb="00CCE5FF"/>
          <bgColor rgb="00CCE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V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18" customWidth="1" min="22" max="22"/>
  </cols>
  <sheetData>
    <row r="1">
      <c r="A1" s="1" t="inlineStr">
        <is>
          <t>Acme Construction LLC</t>
        </is>
      </c>
    </row>
    <row r="2">
      <c r="A2" s="2" t="inlineStr">
        <is>
          <t>Work-in-Progress Schedule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>
      <c r="A6" s="4" t="inlineStr">
        <is>
          <t>Job Number</t>
        </is>
      </c>
      <c r="B6" s="4" t="inlineStr">
        <is>
          <t>Project Name</t>
        </is>
      </c>
      <c r="C6" s="4" t="inlineStr">
        <is>
          <t>Client Name</t>
        </is>
      </c>
      <c r="D6" s="4" t="inlineStr">
        <is>
          <t>Project Manager</t>
        </is>
      </c>
      <c r="E6" s="5" t="inlineStr">
        <is>
          <t>Original Contract Price</t>
        </is>
      </c>
      <c r="F6" s="5" t="inlineStr">
        <is>
          <t>Approved Change Orders</t>
        </is>
      </c>
      <c r="G6" s="5" t="inlineStr">
        <is>
          <t>Revised Contract Price</t>
        </is>
      </c>
      <c r="H6" s="5" t="inlineStr">
        <is>
          <t>Estimated Total Cost</t>
        </is>
      </c>
      <c r="I6" s="5" t="inlineStr">
        <is>
          <t>Costs Incurred to Date</t>
        </is>
      </c>
      <c r="J6" s="5" t="inlineStr">
        <is>
          <t>Cost to Complete</t>
        </is>
      </c>
      <c r="K6" s="5" t="inlineStr">
        <is>
          <t>% Complete (Cost)</t>
        </is>
      </c>
      <c r="L6" s="5" t="inlineStr">
        <is>
          <t>Earned Revenue</t>
        </is>
      </c>
      <c r="M6" s="5" t="inlineStr">
        <is>
          <t>Billings to Date</t>
        </is>
      </c>
      <c r="N6" s="5" t="inlineStr">
        <is>
          <t>Over/(Under) Billing</t>
        </is>
      </c>
      <c r="O6" s="5" t="inlineStr">
        <is>
          <t>Gross Profit to Date</t>
        </is>
      </c>
      <c r="P6" s="5" t="inlineStr">
        <is>
          <t>Est. Gross Profit at Compl.</t>
        </is>
      </c>
      <c r="Q6" s="5" t="inlineStr">
        <is>
          <t>Est. Gross Margin %</t>
        </is>
      </c>
      <c r="R6" s="5" t="inlineStr">
        <is>
          <t>Committed Costs (Open POs)</t>
        </is>
      </c>
      <c r="S6" s="5" t="inlineStr">
        <is>
          <t>Projected Total Cost</t>
        </is>
      </c>
      <c r="T6" s="4" t="inlineStr">
        <is>
          <t>Start Date</t>
        </is>
      </c>
      <c r="U6" s="4" t="inlineStr">
        <is>
          <t>Expected Completion</t>
        </is>
      </c>
      <c r="V6" s="5" t="inlineStr">
        <is>
          <t>Retainage Held</t>
        </is>
      </c>
    </row>
    <row r="7">
      <c r="A7" s="6" t="inlineStr">
        <is>
          <t>ACM-2025-018</t>
        </is>
      </c>
      <c r="B7" s="6" t="inlineStr">
        <is>
          <t>Riverside Medical Office Build-Out</t>
        </is>
      </c>
      <c r="C7" s="6" t="inlineStr">
        <is>
          <t>Riverside Health Partners</t>
        </is>
      </c>
      <c r="D7" s="6" t="inlineStr">
        <is>
          <t>Mike Torres</t>
        </is>
      </c>
      <c r="E7" s="7" t="n">
        <v>2450000</v>
      </c>
      <c r="F7" s="7" t="n">
        <v>185000</v>
      </c>
      <c r="G7" s="8">
        <f>E7+F7</f>
        <v/>
      </c>
      <c r="H7" s="7" t="n">
        <v>2137500</v>
      </c>
      <c r="I7" s="7" t="n">
        <v>1412750</v>
      </c>
      <c r="J7" s="8">
        <f>H7-I7</f>
        <v/>
      </c>
      <c r="K7" s="9">
        <f>IF(H7=0,0,I7/H7)</f>
        <v/>
      </c>
      <c r="L7" s="8">
        <f>K7*G7</f>
        <v/>
      </c>
      <c r="M7" s="7" t="n">
        <v>1580000</v>
      </c>
      <c r="N7" s="10">
        <f>M7-L7</f>
        <v/>
      </c>
      <c r="O7" s="8">
        <f>L7-I7</f>
        <v/>
      </c>
      <c r="P7" s="8">
        <f>G7-H7</f>
        <v/>
      </c>
      <c r="Q7" s="9">
        <f>IF(G7=0,0,P7/G7)</f>
        <v/>
      </c>
      <c r="R7" s="7" t="n">
        <v>310000</v>
      </c>
      <c r="S7" s="8">
        <f>I7+MAX(J7,R7-I7+J7)</f>
        <v/>
      </c>
      <c r="T7" s="11" t="inlineStr">
        <is>
          <t>06/15/2025</t>
        </is>
      </c>
      <c r="U7" s="11" t="inlineStr">
        <is>
          <t>08/30/2026</t>
        </is>
      </c>
      <c r="V7" s="7" t="n">
        <v>79000</v>
      </c>
    </row>
    <row r="8">
      <c r="A8" s="12" t="inlineStr">
        <is>
          <t>ACM-2025-022</t>
        </is>
      </c>
      <c r="B8" s="12" t="inlineStr">
        <is>
          <t>Downtown Loft Conversion — Phase 2</t>
        </is>
      </c>
      <c r="C8" s="12" t="inlineStr">
        <is>
          <t>Metro Development Group</t>
        </is>
      </c>
      <c r="D8" s="12" t="inlineStr">
        <is>
          <t>Sarah Chen</t>
        </is>
      </c>
      <c r="E8" s="13" t="n">
        <v>1875000</v>
      </c>
      <c r="F8" s="13" t="n">
        <v>62000</v>
      </c>
      <c r="G8" s="14">
        <f>E8+F8</f>
        <v/>
      </c>
      <c r="H8" s="13" t="n">
        <v>1789000</v>
      </c>
      <c r="I8" s="13" t="n">
        <v>1685400</v>
      </c>
      <c r="J8" s="14">
        <f>H8-I8</f>
        <v/>
      </c>
      <c r="K8" s="15">
        <f>IF(H8=0,0,I8/H8)</f>
        <v/>
      </c>
      <c r="L8" s="14">
        <f>K8*G8</f>
        <v/>
      </c>
      <c r="M8" s="13" t="n">
        <v>1410000</v>
      </c>
      <c r="N8" s="16">
        <f>M8-L8</f>
        <v/>
      </c>
      <c r="O8" s="14">
        <f>L8-I8</f>
        <v/>
      </c>
      <c r="P8" s="14">
        <f>G8-H8</f>
        <v/>
      </c>
      <c r="Q8" s="15">
        <f>IF(G8=0,0,P8/G8)</f>
        <v/>
      </c>
      <c r="R8" s="13" t="n">
        <v>45000</v>
      </c>
      <c r="S8" s="14">
        <f>I8+MAX(J8,R8-I8+J8)</f>
        <v/>
      </c>
      <c r="T8" s="17" t="inlineStr">
        <is>
          <t>03/01/2025</t>
        </is>
      </c>
      <c r="U8" s="17" t="inlineStr">
        <is>
          <t>05/15/2026</t>
        </is>
      </c>
      <c r="V8" s="13" t="n">
        <v>70500</v>
      </c>
    </row>
    <row r="9">
      <c r="A9" s="6" t="inlineStr">
        <is>
          <t>ACM-2025-031</t>
        </is>
      </c>
      <c r="B9" s="6" t="inlineStr">
        <is>
          <t>Westfield Elementary School Addition</t>
        </is>
      </c>
      <c r="C9" s="6" t="inlineStr">
        <is>
          <t>Westfield School District</t>
        </is>
      </c>
      <c r="D9" s="6" t="inlineStr">
        <is>
          <t>Mike Torres</t>
        </is>
      </c>
      <c r="E9" s="7" t="n">
        <v>4200000</v>
      </c>
      <c r="F9" s="7" t="n">
        <v>315000</v>
      </c>
      <c r="G9" s="8">
        <f>E9+F9</f>
        <v/>
      </c>
      <c r="H9" s="7" t="n">
        <v>3890000</v>
      </c>
      <c r="I9" s="7" t="n">
        <v>1478200</v>
      </c>
      <c r="J9" s="8">
        <f>H9-I9</f>
        <v/>
      </c>
      <c r="K9" s="9">
        <f>IF(H9=0,0,I9/H9)</f>
        <v/>
      </c>
      <c r="L9" s="8">
        <f>K9*G9</f>
        <v/>
      </c>
      <c r="M9" s="7" t="n">
        <v>2350000</v>
      </c>
      <c r="N9" s="10">
        <f>M9-L9</f>
        <v/>
      </c>
      <c r="O9" s="8">
        <f>L9-I9</f>
        <v/>
      </c>
      <c r="P9" s="8">
        <f>G9-H9</f>
        <v/>
      </c>
      <c r="Q9" s="9">
        <f>IF(G9=0,0,P9/G9)</f>
        <v/>
      </c>
      <c r="R9" s="7" t="n">
        <v>1250000</v>
      </c>
      <c r="S9" s="8">
        <f>I9+MAX(J9,R9-I9+J9)</f>
        <v/>
      </c>
      <c r="T9" s="11" t="inlineStr">
        <is>
          <t>09/01/2025</t>
        </is>
      </c>
      <c r="U9" s="11" t="inlineStr">
        <is>
          <t>12/15/2026</t>
        </is>
      </c>
      <c r="V9" s="7" t="n">
        <v>94500</v>
      </c>
    </row>
    <row r="10">
      <c r="A10" s="12" t="inlineStr">
        <is>
          <t>ACM-2026-003</t>
        </is>
      </c>
      <c r="B10" s="12" t="inlineStr">
        <is>
          <t>Harbor Point Retail Shell — Unit 4B</t>
        </is>
      </c>
      <c r="C10" s="12" t="inlineStr">
        <is>
          <t>Harbor Point Partners LLC</t>
        </is>
      </c>
      <c r="D10" s="12" t="inlineStr">
        <is>
          <t>Sarah Chen</t>
        </is>
      </c>
      <c r="E10" s="13" t="n">
        <v>680000</v>
      </c>
      <c r="F10" s="13" t="n">
        <v>-15000</v>
      </c>
      <c r="G10" s="14">
        <f>E10+F10</f>
        <v/>
      </c>
      <c r="H10" s="13" t="n">
        <v>725000</v>
      </c>
      <c r="I10" s="13" t="n">
        <v>498300</v>
      </c>
      <c r="J10" s="14">
        <f>H10-I10</f>
        <v/>
      </c>
      <c r="K10" s="15">
        <f>IF(H10=0,0,I10/H10)</f>
        <v/>
      </c>
      <c r="L10" s="14">
        <f>K10*G10</f>
        <v/>
      </c>
      <c r="M10" s="13" t="n">
        <v>395000</v>
      </c>
      <c r="N10" s="16">
        <f>M10-L10</f>
        <v/>
      </c>
      <c r="O10" s="14">
        <f>L10-I10</f>
        <v/>
      </c>
      <c r="P10" s="14">
        <f>G10-H10</f>
        <v/>
      </c>
      <c r="Q10" s="15">
        <f>IF(G10=0,0,P10/G10)</f>
        <v/>
      </c>
      <c r="R10" s="13" t="n">
        <v>95000</v>
      </c>
      <c r="S10" s="14">
        <f>I10+MAX(J10,R10-I10+J10)</f>
        <v/>
      </c>
      <c r="T10" s="17" t="inlineStr">
        <is>
          <t>01/10/2026</t>
        </is>
      </c>
      <c r="U10" s="17" t="inlineStr">
        <is>
          <t>06/30/2026</t>
        </is>
      </c>
      <c r="V10" s="13" t="n">
        <v>19750</v>
      </c>
    </row>
    <row r="11">
      <c r="A11" s="6" t="inlineStr">
        <is>
          <t>ACM-2025-014</t>
        </is>
      </c>
      <c r="B11" s="6" t="inlineStr">
        <is>
          <t>Oakdale Fire Station Renovation</t>
        </is>
      </c>
      <c r="C11" s="6" t="inlineStr">
        <is>
          <t>Township of Oakdale</t>
        </is>
      </c>
      <c r="D11" s="6" t="inlineStr">
        <is>
          <t>Jake Rivera</t>
        </is>
      </c>
      <c r="E11" s="7" t="n">
        <v>1150000</v>
      </c>
      <c r="F11" s="7" t="n">
        <v>48000</v>
      </c>
      <c r="G11" s="8">
        <f>E11+F11</f>
        <v/>
      </c>
      <c r="H11" s="7" t="n">
        <v>1032000</v>
      </c>
      <c r="I11" s="7" t="n">
        <v>998500</v>
      </c>
      <c r="J11" s="8">
        <f>H11-I11</f>
        <v/>
      </c>
      <c r="K11" s="9">
        <f>IF(H11=0,0,I11/H11)</f>
        <v/>
      </c>
      <c r="L11" s="8">
        <f>K11*G11</f>
        <v/>
      </c>
      <c r="M11" s="7" t="n">
        <v>1125000</v>
      </c>
      <c r="N11" s="10">
        <f>M11-L11</f>
        <v/>
      </c>
      <c r="O11" s="8">
        <f>L11-I11</f>
        <v/>
      </c>
      <c r="P11" s="8">
        <f>G11-H11</f>
        <v/>
      </c>
      <c r="Q11" s="9">
        <f>IF(G11=0,0,P11/G11)</f>
        <v/>
      </c>
      <c r="R11" s="7" t="n">
        <v>12000</v>
      </c>
      <c r="S11" s="8">
        <f>I11+MAX(J11,R11-I11+J11)</f>
        <v/>
      </c>
      <c r="T11" s="11" t="inlineStr">
        <is>
          <t>02/15/2025</t>
        </is>
      </c>
      <c r="U11" s="11" t="inlineStr">
        <is>
          <t>04/30/2026</t>
        </is>
      </c>
      <c r="V11" s="7" t="n">
        <v>56250</v>
      </c>
    </row>
    <row r="12">
      <c r="A12" s="12" t="inlineStr">
        <is>
          <t>ACM-2026-007</t>
        </is>
      </c>
      <c r="B12" s="12" t="inlineStr">
        <is>
          <t>Greenfield Corporate HQ Fit-Out</t>
        </is>
      </c>
      <c r="C12" s="12" t="inlineStr">
        <is>
          <t>Greenfield Logistics Inc</t>
        </is>
      </c>
      <c r="D12" s="12" t="inlineStr">
        <is>
          <t>Sarah Chen</t>
        </is>
      </c>
      <c r="E12" s="13" t="n">
        <v>3100000</v>
      </c>
      <c r="F12" s="13" t="n">
        <v>0</v>
      </c>
      <c r="G12" s="14">
        <f>E12+F12</f>
        <v/>
      </c>
      <c r="H12" s="13" t="n">
        <v>2685000</v>
      </c>
      <c r="I12" s="13" t="n">
        <v>342100</v>
      </c>
      <c r="J12" s="14">
        <f>H12-I12</f>
        <v/>
      </c>
      <c r="K12" s="15">
        <f>IF(H12=0,0,I12/H12)</f>
        <v/>
      </c>
      <c r="L12" s="14">
        <f>K12*G12</f>
        <v/>
      </c>
      <c r="M12" s="13" t="n">
        <v>620000</v>
      </c>
      <c r="N12" s="16">
        <f>M12-L12</f>
        <v/>
      </c>
      <c r="O12" s="14">
        <f>L12-I12</f>
        <v/>
      </c>
      <c r="P12" s="14">
        <f>G12-H12</f>
        <v/>
      </c>
      <c r="Q12" s="15">
        <f>IF(G12=0,0,P12/G12)</f>
        <v/>
      </c>
      <c r="R12" s="13" t="n">
        <v>890000</v>
      </c>
      <c r="S12" s="14">
        <f>I12+MAX(J12,R12-I12+J12)</f>
        <v/>
      </c>
      <c r="T12" s="17" t="inlineStr">
        <is>
          <t>02/01/2026</t>
        </is>
      </c>
      <c r="U12" s="17" t="inlineStr">
        <is>
          <t>01/15/2027</t>
        </is>
      </c>
      <c r="V12" s="13" t="n">
        <v>31000</v>
      </c>
    </row>
    <row r="13">
      <c r="A13" s="6" t="inlineStr">
        <is>
          <t>ACM-2025-027</t>
        </is>
      </c>
      <c r="B13" s="6" t="inlineStr">
        <is>
          <t>Summit Brewing Warehouse Expansion</t>
        </is>
      </c>
      <c r="C13" s="6" t="inlineStr">
        <is>
          <t>Summit Brewing Co</t>
        </is>
      </c>
      <c r="D13" s="6" t="inlineStr">
        <is>
          <t>Jake Rivera</t>
        </is>
      </c>
      <c r="E13" s="7" t="n">
        <v>920000</v>
      </c>
      <c r="F13" s="7" t="n">
        <v>73000</v>
      </c>
      <c r="G13" s="8">
        <f>E13+F13</f>
        <v/>
      </c>
      <c r="H13" s="7" t="n">
        <v>864000</v>
      </c>
      <c r="I13" s="7" t="n">
        <v>831200</v>
      </c>
      <c r="J13" s="8">
        <f>H13-I13</f>
        <v/>
      </c>
      <c r="K13" s="9">
        <f>IF(H13=0,0,I13/H13)</f>
        <v/>
      </c>
      <c r="L13" s="8">
        <f>K13*G13</f>
        <v/>
      </c>
      <c r="M13" s="7" t="n">
        <v>945000</v>
      </c>
      <c r="N13" s="10">
        <f>M13-L13</f>
        <v/>
      </c>
      <c r="O13" s="8">
        <f>L13-I13</f>
        <v/>
      </c>
      <c r="P13" s="8">
        <f>G13-H13</f>
        <v/>
      </c>
      <c r="Q13" s="9">
        <f>IF(G13=0,0,P13/G13)</f>
        <v/>
      </c>
      <c r="R13" s="7" t="n">
        <v>8500</v>
      </c>
      <c r="S13" s="8">
        <f>I13+MAX(J13,R13-I13+J13)</f>
        <v/>
      </c>
      <c r="T13" s="11" t="inlineStr">
        <is>
          <t>05/01/2025</t>
        </is>
      </c>
      <c r="U13" s="11" t="inlineStr">
        <is>
          <t>04/15/2026</t>
        </is>
      </c>
      <c r="V13" s="7" t="n">
        <v>49700</v>
      </c>
    </row>
    <row r="14">
      <c r="A14" s="18" t="inlineStr">
        <is>
          <t>TOTALS</t>
        </is>
      </c>
      <c r="B14" s="19" t="n"/>
      <c r="C14" s="19" t="n"/>
      <c r="D14" s="19" t="n"/>
      <c r="E14" s="20">
        <f>SUM(E7:E13)</f>
        <v/>
      </c>
      <c r="F14" s="20">
        <f>SUM(F7:F13)</f>
        <v/>
      </c>
      <c r="G14" s="20">
        <f>SUM(G7:G13)</f>
        <v/>
      </c>
      <c r="H14" s="20">
        <f>SUM(H7:H13)</f>
        <v/>
      </c>
      <c r="I14" s="20">
        <f>SUM(I7:I13)</f>
        <v/>
      </c>
      <c r="J14" s="20">
        <f>SUM(J7:J13)</f>
        <v/>
      </c>
      <c r="K14" s="21">
        <f>IF(H14=0,0,I14/H14)</f>
        <v/>
      </c>
      <c r="L14" s="20">
        <f>SUM(L7:L13)</f>
        <v/>
      </c>
      <c r="M14" s="20">
        <f>SUM(M7:M13)</f>
        <v/>
      </c>
      <c r="N14" s="22">
        <f>SUM(N7:N13)</f>
        <v/>
      </c>
      <c r="O14" s="20">
        <f>SUM(O7:O13)</f>
        <v/>
      </c>
      <c r="P14" s="20">
        <f>SUM(P7:P13)</f>
        <v/>
      </c>
      <c r="Q14" s="21">
        <f>IF(G14=0,0,P14/G14)</f>
        <v/>
      </c>
      <c r="R14" s="20">
        <f>SUM(R7:R13)</f>
        <v/>
      </c>
      <c r="S14" s="20">
        <f>SUM(S7:S13)</f>
        <v/>
      </c>
      <c r="T14" s="19" t="n"/>
      <c r="U14" s="19" t="n"/>
      <c r="V14" s="20">
        <f>SUM(V7:V13)</f>
        <v/>
      </c>
    </row>
    <row r="16">
      <c r="A16" s="23" t="inlineStr">
        <is>
          <t>SUMMARY</t>
        </is>
      </c>
    </row>
    <row r="17">
      <c r="A17" s="24" t="inlineStr">
        <is>
          <t>Total Overbillings (liability)</t>
        </is>
      </c>
      <c r="B17" s="8">
        <f>SUMIF(N7:N13,"&gt;"&amp;0)</f>
        <v/>
      </c>
    </row>
    <row r="18">
      <c r="A18" s="24" t="inlineStr">
        <is>
          <t>Total Underbillings (asset)</t>
        </is>
      </c>
      <c r="B18" s="8">
        <f>ABS(SUMIF(N7:N13,"&lt;"&amp;0))</f>
        <v/>
      </c>
    </row>
    <row r="19">
      <c r="A19" s="24" t="inlineStr">
        <is>
          <t>Net Over/(Under) Billing Position</t>
        </is>
      </c>
      <c r="B19" s="10">
        <f>N14</f>
        <v/>
      </c>
    </row>
    <row r="20">
      <c r="A20" s="24" t="inlineStr">
        <is>
          <t>Total Earned Revenue</t>
        </is>
      </c>
      <c r="B20" s="8">
        <f>L14</f>
        <v/>
      </c>
    </row>
    <row r="21">
      <c r="A21" s="24" t="inlineStr">
        <is>
          <t>Total Billings to Date</t>
        </is>
      </c>
      <c r="B21" s="8">
        <f>M14</f>
        <v/>
      </c>
    </row>
    <row r="22">
      <c r="A22" s="24" t="inlineStr">
        <is>
          <t>Billing Variance</t>
        </is>
      </c>
      <c r="B22" s="10">
        <f>M14-L14</f>
        <v/>
      </c>
    </row>
    <row r="23">
      <c r="A23" s="24" t="inlineStr">
        <is>
          <t>Weighted Average Gross Margin</t>
        </is>
      </c>
      <c r="B23" s="9">
        <f>Q14</f>
        <v/>
      </c>
    </row>
    <row r="24">
      <c r="A24" s="24" t="inlineStr">
        <is>
          <t>Number of Active Projects</t>
        </is>
      </c>
      <c r="B24" s="25">
        <f>COUNTA(A7:A13)</f>
        <v/>
      </c>
    </row>
    <row r="25">
      <c r="A25" s="24" t="inlineStr">
        <is>
          <t>Number of Loss Jobs</t>
        </is>
      </c>
      <c r="B25" s="25">
        <f>COUNTIF(P7:P13,"&lt;0")</f>
        <v/>
      </c>
    </row>
    <row r="26">
      <c r="A26" s="24" t="inlineStr">
        <is>
          <t>Total Loss Exposure</t>
        </is>
      </c>
      <c r="B26" s="8">
        <f>SUMIF(P7:P13,"&lt;0")</f>
        <v/>
      </c>
    </row>
  </sheetData>
  <autoFilter ref="A6:V13"/>
  <mergeCells count="4">
    <mergeCell ref="A4:H4"/>
    <mergeCell ref="A3:H3"/>
    <mergeCell ref="A2:H2"/>
    <mergeCell ref="A1:H1"/>
  </mergeCells>
  <conditionalFormatting sqref="P7:P13">
    <cfRule type="cellIs" priority="1" operator="lessThan" dxfId="0">
      <formula>0</formula>
    </cfRule>
  </conditionalFormatting>
  <conditionalFormatting sqref="Q7:Q13">
    <cfRule type="cellIs" priority="2" operator="between" dxfId="1">
      <formula>0</formula>
      <formula>0.05</formula>
    </cfRule>
    <cfRule type="cellIs" priority="3" operator="greaterThanOrEqual" dxfId="2">
      <formula>0.1</formula>
    </cfRule>
  </conditionalFormatting>
  <conditionalFormatting sqref="N7:N13">
    <cfRule type="expression" priority="4" dxfId="0">
      <formula>N7&gt;G7*0.1</formula>
    </cfRule>
    <cfRule type="cellIs" priority="5" operator="lessThan" dxfId="3">
      <formula>0</formula>
    </cfRule>
  </conditionalFormatting>
  <conditionalFormatting sqref="K7:K13">
    <cfRule type="cellIs" priority="6" operator="greaterThanOrEqual" dxfId="2">
      <formula>0.95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/>
  </sheetPr>
  <dimension ref="A1:O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Prior Period Comparison</t>
        </is>
      </c>
    </row>
    <row r="2">
      <c r="A2" s="26" t="inlineStr">
        <is>
          <t>Prior month data for trend analysis. Paste or link prior WIP here.</t>
        </is>
      </c>
    </row>
    <row r="4" ht="36" customHeight="1">
      <c r="A4" s="27" t="inlineStr">
        <is>
          <t>#</t>
        </is>
      </c>
      <c r="B4" s="27" t="inlineStr">
        <is>
          <t>Project Name</t>
        </is>
      </c>
      <c r="C4" s="27" t="inlineStr">
        <is>
          <t>Client</t>
        </is>
      </c>
      <c r="D4" s="27" t="inlineStr">
        <is>
          <t>PM</t>
        </is>
      </c>
      <c r="E4" s="27" t="inlineStr">
        <is>
          <t>Original
Contract</t>
        </is>
      </c>
      <c r="F4" s="27" t="inlineStr">
        <is>
          <t>Approved
COs</t>
        </is>
      </c>
      <c r="G4" s="27" t="inlineStr">
        <is>
          <t>Revised
Contract</t>
        </is>
      </c>
      <c r="H4" s="27" t="inlineStr">
        <is>
          <t>Est. Total
Cost</t>
        </is>
      </c>
      <c r="I4" s="27" t="inlineStr">
        <is>
          <t>Costs to
Date</t>
        </is>
      </c>
      <c r="J4" s="27" t="inlineStr">
        <is>
          <t>Billings
to Date</t>
        </is>
      </c>
      <c r="K4" s="27" t="inlineStr">
        <is>
          <t>% Complete</t>
        </is>
      </c>
      <c r="L4" s="27" t="inlineStr">
        <is>
          <t>Earned
Revenue</t>
        </is>
      </c>
      <c r="M4" s="27" t="inlineStr">
        <is>
          <t>Over/(Under)
Billing</t>
        </is>
      </c>
      <c r="N4" s="27" t="inlineStr">
        <is>
          <t>Est. Gross
Profit</t>
        </is>
      </c>
      <c r="O4" s="27" t="inlineStr">
        <is>
          <t>Est. Gross
Margin %</t>
        </is>
      </c>
    </row>
    <row r="5">
      <c r="A5" s="28" t="n">
        <v>1</v>
      </c>
      <c r="B5" s="28" t="inlineStr">
        <is>
          <t>Harbor Point Retail Shell</t>
        </is>
      </c>
      <c r="C5" s="28" t="inlineStr">
        <is>
          <t>Harbor Dev LLC</t>
        </is>
      </c>
      <c r="D5" s="28" t="inlineStr">
        <is>
          <t>R. Chen</t>
        </is>
      </c>
      <c r="E5" s="29" t="n">
        <v>665000</v>
      </c>
      <c r="F5" s="29" t="n">
        <v>-15000</v>
      </c>
      <c r="G5" s="29" t="n">
        <v>650000</v>
      </c>
      <c r="H5" s="29" t="n">
        <v>720000</v>
      </c>
      <c r="I5" s="29" t="n">
        <v>520000</v>
      </c>
      <c r="J5" s="29" t="n">
        <v>480000</v>
      </c>
      <c r="K5" s="30">
        <f>I5/H5</f>
        <v/>
      </c>
      <c r="L5" s="31">
        <f>K5*G5</f>
        <v/>
      </c>
      <c r="M5" s="31">
        <f>J5-L5</f>
        <v/>
      </c>
      <c r="N5" s="31">
        <f>G5-H5</f>
        <v/>
      </c>
      <c r="O5" s="30">
        <f>IF(G5=0,0,N5/G5)</f>
        <v/>
      </c>
    </row>
    <row r="6">
      <c r="A6" s="28" t="n">
        <v>2</v>
      </c>
      <c r="B6" s="28" t="inlineStr">
        <is>
          <t>Westfield Elementary Addition</t>
        </is>
      </c>
      <c r="C6" s="28" t="inlineStr">
        <is>
          <t>USD 501</t>
        </is>
      </c>
      <c r="D6" s="28" t="inlineStr">
        <is>
          <t>M. Torres</t>
        </is>
      </c>
      <c r="E6" s="29" t="n">
        <v>2150000</v>
      </c>
      <c r="F6" s="29" t="n">
        <v>95000</v>
      </c>
      <c r="G6" s="29" t="n">
        <v>2245000</v>
      </c>
      <c r="H6" s="29" t="n">
        <v>1920000</v>
      </c>
      <c r="I6" s="29" t="n">
        <v>1100000</v>
      </c>
      <c r="J6" s="29" t="n">
        <v>1200000</v>
      </c>
      <c r="K6" s="30">
        <f>I6/H6</f>
        <v/>
      </c>
      <c r="L6" s="31">
        <f>K6*G6</f>
        <v/>
      </c>
      <c r="M6" s="31">
        <f>J6-L6</f>
        <v/>
      </c>
      <c r="N6" s="31">
        <f>G6-H6</f>
        <v/>
      </c>
      <c r="O6" s="30">
        <f>IF(G6=0,0,N6/G6)</f>
        <v/>
      </c>
    </row>
    <row r="7">
      <c r="A7" s="28" t="n">
        <v>3</v>
      </c>
      <c r="B7" s="28" t="inlineStr">
        <is>
          <t>Oakdale Fire Station #7</t>
        </is>
      </c>
      <c r="C7" s="28" t="inlineStr">
        <is>
          <t>City of Oakdale</t>
        </is>
      </c>
      <c r="D7" s="28" t="inlineStr">
        <is>
          <t>S. Patel</t>
        </is>
      </c>
      <c r="E7" s="29" t="n">
        <v>4500000</v>
      </c>
      <c r="F7" s="29" t="n">
        <v>180000</v>
      </c>
      <c r="G7" s="29" t="n">
        <v>4680000</v>
      </c>
      <c r="H7" s="29" t="n">
        <v>4100000</v>
      </c>
      <c r="I7" s="29" t="n">
        <v>3700000</v>
      </c>
      <c r="J7" s="29" t="n">
        <v>3800000</v>
      </c>
      <c r="K7" s="30">
        <f>I7/H7</f>
        <v/>
      </c>
      <c r="L7" s="31">
        <f>K7*G7</f>
        <v/>
      </c>
      <c r="M7" s="31">
        <f>J7-L7</f>
        <v/>
      </c>
      <c r="N7" s="31">
        <f>G7-H7</f>
        <v/>
      </c>
      <c r="O7" s="30">
        <f>IF(G7=0,0,N7/G7)</f>
        <v/>
      </c>
    </row>
    <row r="8">
      <c r="A8" s="28" t="n">
        <v>4</v>
      </c>
      <c r="B8" s="28" t="inlineStr">
        <is>
          <t>Summit Brewing Taproom</t>
        </is>
      </c>
      <c r="C8" s="28" t="inlineStr">
        <is>
          <t>Summit Brewing Co</t>
        </is>
      </c>
      <c r="D8" s="28" t="inlineStr">
        <is>
          <t>J. Kim</t>
        </is>
      </c>
      <c r="E8" s="29" t="n">
        <v>890000</v>
      </c>
      <c r="F8" s="29" t="n">
        <v>42000</v>
      </c>
      <c r="G8" s="29" t="n">
        <v>932000</v>
      </c>
      <c r="H8" s="29" t="n">
        <v>815000</v>
      </c>
      <c r="I8" s="29" t="n">
        <v>700000</v>
      </c>
      <c r="J8" s="29" t="n">
        <v>750000</v>
      </c>
      <c r="K8" s="30">
        <f>I8/H8</f>
        <v/>
      </c>
      <c r="L8" s="31">
        <f>K8*G8</f>
        <v/>
      </c>
      <c r="M8" s="31">
        <f>J8-L8</f>
        <v/>
      </c>
      <c r="N8" s="31">
        <f>G8-H8</f>
        <v/>
      </c>
      <c r="O8" s="30">
        <f>IF(G8=0,0,N8/G8)</f>
        <v/>
      </c>
    </row>
    <row r="9">
      <c r="A9" s="28" t="n">
        <v>5</v>
      </c>
      <c r="B9" s="28" t="inlineStr">
        <is>
          <t>Downtown Loft Conversion</t>
        </is>
      </c>
      <c r="C9" s="28" t="inlineStr">
        <is>
          <t>Metro Living LLC</t>
        </is>
      </c>
      <c r="D9" s="28" t="inlineStr">
        <is>
          <t>A. Nowak</t>
        </is>
      </c>
      <c r="E9" s="29" t="n">
        <v>1875000</v>
      </c>
      <c r="F9" s="29" t="n">
        <v>0</v>
      </c>
      <c r="G9" s="29" t="n">
        <v>1875000</v>
      </c>
      <c r="H9" s="29" t="n">
        <v>1680000</v>
      </c>
      <c r="I9" s="29" t="n">
        <v>1400000</v>
      </c>
      <c r="J9" s="29" t="n">
        <v>1350000</v>
      </c>
      <c r="K9" s="30">
        <f>I9/H9</f>
        <v/>
      </c>
      <c r="L9" s="31">
        <f>K9*G9</f>
        <v/>
      </c>
      <c r="M9" s="31">
        <f>J9-L9</f>
        <v/>
      </c>
      <c r="N9" s="31">
        <f>G9-H9</f>
        <v/>
      </c>
      <c r="O9" s="30">
        <f>IF(G9=0,0,N9/G9)</f>
        <v/>
      </c>
    </row>
    <row r="10">
      <c r="A10" s="28" t="n">
        <v>6</v>
      </c>
      <c r="B10" s="28" t="inlineStr">
        <is>
          <t>Riverside Medical Office</t>
        </is>
      </c>
      <c r="C10" s="28" t="inlineStr">
        <is>
          <t>Riverside Health</t>
        </is>
      </c>
      <c r="D10" s="28" t="inlineStr">
        <is>
          <t>R. Chen</t>
        </is>
      </c>
      <c r="E10" s="29" t="n">
        <v>3200000</v>
      </c>
      <c r="F10" s="29" t="n">
        <v>125000</v>
      </c>
      <c r="G10" s="29" t="n">
        <v>3325000</v>
      </c>
      <c r="H10" s="29" t="n">
        <v>2950000</v>
      </c>
      <c r="I10" s="29" t="n">
        <v>1400000</v>
      </c>
      <c r="J10" s="29" t="n">
        <v>1500000</v>
      </c>
      <c r="K10" s="30">
        <f>I10/H10</f>
        <v/>
      </c>
      <c r="L10" s="31">
        <f>K10*G10</f>
        <v/>
      </c>
      <c r="M10" s="31">
        <f>J10-L10</f>
        <v/>
      </c>
      <c r="N10" s="31">
        <f>G10-H10</f>
        <v/>
      </c>
      <c r="O10" s="30">
        <f>IF(G10=0,0,N10/G10)</f>
        <v/>
      </c>
    </row>
    <row r="11">
      <c r="A11" s="28" t="n">
        <v>7</v>
      </c>
      <c r="B11" s="28" t="inlineStr">
        <is>
          <t>Lincoln Ave Retail Fit-Out</t>
        </is>
      </c>
      <c r="C11" s="28" t="inlineStr">
        <is>
          <t>Lincoln Props</t>
        </is>
      </c>
      <c r="D11" s="28" t="inlineStr">
        <is>
          <t>M. Torres</t>
        </is>
      </c>
      <c r="E11" s="29" t="n">
        <v>425000</v>
      </c>
      <c r="F11" s="29" t="n">
        <v>0</v>
      </c>
      <c r="G11" s="29" t="n">
        <v>425000</v>
      </c>
      <c r="H11" s="29" t="n">
        <v>390000</v>
      </c>
      <c r="I11" s="29" t="n">
        <v>100000</v>
      </c>
      <c r="J11" s="29" t="n">
        <v>80000</v>
      </c>
      <c r="K11" s="30">
        <f>I11/H11</f>
        <v/>
      </c>
      <c r="L11" s="31">
        <f>K11*G11</f>
        <v/>
      </c>
      <c r="M11" s="31">
        <f>J11-L11</f>
        <v/>
      </c>
      <c r="N11" s="31">
        <f>G11-H11</f>
        <v/>
      </c>
      <c r="O11" s="30">
        <f>IF(G11=0,0,N11/G11)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0" customWidth="1" min="4" max="4"/>
    <col width="14" customWidth="1" min="5" max="5"/>
    <col width="14" customWidth="1" min="6" max="6"/>
    <col width="14" customWidth="1" min="7" max="7"/>
    <col width="35" customWidth="1" min="8" max="8"/>
  </cols>
  <sheetData>
    <row r="1">
      <c r="A1" s="1" t="inlineStr">
        <is>
          <t>WIP Change Log</t>
        </is>
      </c>
    </row>
    <row r="2">
      <c r="A2" s="26" t="inlineStr">
        <is>
          <t>Track all changes to project estimates, contract values, and completion percentages.</t>
        </is>
      </c>
    </row>
    <row r="4" ht="30" customHeight="1">
      <c r="A4" s="32" t="inlineStr">
        <is>
          <t>Date</t>
        </is>
      </c>
      <c r="B4" s="32" t="inlineStr">
        <is>
          <t>Job #</t>
        </is>
      </c>
      <c r="C4" s="32" t="inlineStr">
        <is>
          <t>Project Name</t>
        </is>
      </c>
      <c r="D4" s="32" t="inlineStr">
        <is>
          <t>Field Changed</t>
        </is>
      </c>
      <c r="E4" s="32" t="inlineStr">
        <is>
          <t>Old Value</t>
        </is>
      </c>
      <c r="F4" s="32" t="inlineStr">
        <is>
          <t>New Value</t>
        </is>
      </c>
      <c r="G4" s="32" t="inlineStr">
        <is>
          <t>Changed By</t>
        </is>
      </c>
      <c r="H4" s="32" t="inlineStr">
        <is>
          <t>Reason</t>
        </is>
      </c>
    </row>
    <row r="5">
      <c r="A5" s="33" t="inlineStr">
        <is>
          <t>2026-03-31</t>
        </is>
      </c>
      <c r="B5" s="33" t="inlineStr">
        <is>
          <t>2026-003</t>
        </is>
      </c>
      <c r="C5" s="33" t="inlineStr">
        <is>
          <t>Oakdale Fire Station #7</t>
        </is>
      </c>
      <c r="D5" s="33" t="inlineStr">
        <is>
          <t>Estimated Total Cost</t>
        </is>
      </c>
      <c r="E5" s="33" t="inlineStr">
        <is>
          <t>$4,000,000</t>
        </is>
      </c>
      <c r="F5" s="33" t="inlineStr">
        <is>
          <t>$4,100,000</t>
        </is>
      </c>
      <c r="G5" s="33" t="inlineStr">
        <is>
          <t>S. Patel</t>
        </is>
      </c>
      <c r="H5" s="33" t="inlineStr">
        <is>
          <t>Structural steel cost increase</t>
        </is>
      </c>
    </row>
    <row r="6">
      <c r="A6" s="34" t="inlineStr">
        <is>
          <t>2026-03-31</t>
        </is>
      </c>
      <c r="B6" s="34" t="inlineStr">
        <is>
          <t>2026-001</t>
        </is>
      </c>
      <c r="C6" s="34" t="inlineStr">
        <is>
          <t>Harbor Point Retail Shell</t>
        </is>
      </c>
      <c r="D6" s="34" t="inlineStr">
        <is>
          <t>Approved Change Orders</t>
        </is>
      </c>
      <c r="E6" s="34" t="inlineStr">
        <is>
          <t>$0</t>
        </is>
      </c>
      <c r="F6" s="34" t="inlineStr">
        <is>
          <t>-$15,000</t>
        </is>
      </c>
      <c r="G6" s="34" t="inlineStr">
        <is>
          <t>R. Chen</t>
        </is>
      </c>
      <c r="H6" s="34" t="inlineStr">
        <is>
          <t>Owner-directed scope reduction</t>
        </is>
      </c>
    </row>
    <row r="7">
      <c r="A7" s="33" t="inlineStr">
        <is>
          <t>2026-03-28</t>
        </is>
      </c>
      <c r="B7" s="33" t="inlineStr">
        <is>
          <t>2026-005</t>
        </is>
      </c>
      <c r="C7" s="33" t="inlineStr">
        <is>
          <t>Downtown Loft Conversion</t>
        </is>
      </c>
      <c r="D7" s="33" t="inlineStr">
        <is>
          <t>% Complete (PM est.)</t>
        </is>
      </c>
      <c r="E7" s="33" t="inlineStr">
        <is>
          <t>88%</t>
        </is>
      </c>
      <c r="F7" s="33" t="inlineStr">
        <is>
          <t>94.2%</t>
        </is>
      </c>
      <c r="G7" s="33" t="inlineStr">
        <is>
          <t>A. Nowak</t>
        </is>
      </c>
      <c r="H7" s="33" t="inlineStr">
        <is>
          <t>Drywall and MEP ahead of schedule</t>
        </is>
      </c>
    </row>
    <row r="8">
      <c r="A8" s="34" t="inlineStr">
        <is>
          <t>2026-03-25</t>
        </is>
      </c>
      <c r="B8" s="34" t="inlineStr">
        <is>
          <t>2026-004</t>
        </is>
      </c>
      <c r="C8" s="34" t="inlineStr">
        <is>
          <t>Summit Brewing Taproom</t>
        </is>
      </c>
      <c r="D8" s="34" t="inlineStr">
        <is>
          <t>Approved Change Orders</t>
        </is>
      </c>
      <c r="E8" s="34" t="inlineStr">
        <is>
          <t>$25,000</t>
        </is>
      </c>
      <c r="F8" s="34" t="inlineStr">
        <is>
          <t>$42,000</t>
        </is>
      </c>
      <c r="G8" s="34" t="inlineStr">
        <is>
          <t>J. Kim</t>
        </is>
      </c>
      <c r="H8" s="34" t="inlineStr">
        <is>
          <t>Added patio drainage system</t>
        </is>
      </c>
    </row>
    <row r="9">
      <c r="A9" s="33" t="inlineStr">
        <is>
          <t>2026-03-20</t>
        </is>
      </c>
      <c r="B9" s="33" t="inlineStr">
        <is>
          <t>2026-006</t>
        </is>
      </c>
      <c r="C9" s="33" t="inlineStr">
        <is>
          <t>Riverside Medical Office</t>
        </is>
      </c>
      <c r="D9" s="33" t="inlineStr">
        <is>
          <t>Estimated Total Cost</t>
        </is>
      </c>
      <c r="E9" s="33" t="inlineStr">
        <is>
          <t>$2,850,000</t>
        </is>
      </c>
      <c r="F9" s="33" t="inlineStr">
        <is>
          <t>$2,950,000</t>
        </is>
      </c>
      <c r="G9" s="33" t="inlineStr">
        <is>
          <t>R. Chen</t>
        </is>
      </c>
      <c r="H9" s="33" t="inlineStr">
        <is>
          <t>HVAC spec change per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WIP Schedule</dc:title>
  <dcterms:created xmlns:dcterms="http://purl.org/dc/terms/" xmlns:xsi="http://www.w3.org/2001/XMLSchema-instance" xsi:type="dcterms:W3CDTF">2026-04-07T19:44:21Z</dcterms:created>
  <dcterms:modified xmlns:dcterms="http://purl.org/dc/terms/" xmlns:xsi="http://www.w3.org/2001/XMLSchema-instance" xsi:type="dcterms:W3CDTF">2026-04-07T19:44:21Z</dcterms:modified>
</cp:coreProperties>
</file>