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702" sheetId="1" state="visible" r:id="rId1"/>
    <sheet xmlns:r="http://schemas.openxmlformats.org/officeDocument/2006/relationships" name="G703" sheetId="2" state="visible" r:id="rId2"/>
  </sheets>
  <definedNames>
    <definedName name="ContractSumToDate">'G702'!$B$13</definedName>
    <definedName name="TotalCompletedStored">'G702'!$B$14</definedName>
    <definedName name="TotalRetainage">'G702'!$B$19</definedName>
    <definedName name="TotalEarnedLessRetainage">'G702'!$B$20</definedName>
    <definedName name="PreviousCertificates">'G702'!$B$21</definedName>
    <definedName name="CurrentPaymentDue">'G702'!$B$22</definedName>
    <definedName name="BalanceToFinish">'G702'!$B$23</definedName>
    <definedName name="G703_GrandTotalScheduled">'G703'!$C$22</definedName>
    <definedName name="G703_GrandTotalCompleted">'G703'!$G$22</definedName>
    <definedName name="G703_GrandTotalRetainage">'G703'!$J$22</definedName>
    <definedName name="_xlnm._FilterDatabase" localSheetId="1" hidden="1">'G703'!$A$6:$J$21</definedName>
    <definedName name="_xlnm.Print_Titles" localSheetId="1">'G703'!$1:$6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name val="Inter"/>
      <b val="1"/>
      <color rgb="00111010"/>
      <sz val="14"/>
    </font>
    <font>
      <name val="Inter"/>
      <color rgb="00111010"/>
      <sz val="10"/>
    </font>
    <font>
      <name val="Inter"/>
      <b val="1"/>
      <color rgb="00FFFFFF"/>
      <sz val="9"/>
    </font>
    <font>
      <name val="Inter"/>
      <color rgb="000000FF"/>
      <sz val="10"/>
    </font>
    <font>
      <name val="Inter"/>
      <color rgb="00000000"/>
      <sz val="10"/>
    </font>
    <font>
      <name val="Inter"/>
      <b val="1"/>
      <color rgb="00000000"/>
      <sz val="10"/>
    </font>
    <font>
      <name val="Inter"/>
      <color rgb="009a948c"/>
      <sz val="10"/>
    </font>
    <font>
      <name val="Inter"/>
      <b val="1"/>
      <color rgb="00111010"/>
      <sz val="10"/>
    </font>
    <font>
      <name val="Inter"/>
      <b val="1"/>
      <color rgb="00111010"/>
      <sz val="12"/>
    </font>
  </fonts>
  <fills count="5">
    <fill>
      <patternFill/>
    </fill>
    <fill>
      <patternFill patternType="gray125"/>
    </fill>
    <fill>
      <patternFill patternType="solid">
        <fgColor rgb="00111010"/>
        <bgColor rgb="00111010"/>
      </patternFill>
    </fill>
    <fill>
      <patternFill patternType="solid">
        <fgColor rgb="00F9FAFB"/>
        <bgColor rgb="00F9FAFB"/>
      </patternFill>
    </fill>
    <fill>
      <patternFill patternType="solid">
        <fgColor rgb="00F5F5F5"/>
        <bgColor rgb="00F5F5F5"/>
      </patternFill>
    </fill>
  </fills>
  <borders count="5">
    <border>
      <left/>
      <right/>
      <top/>
      <bottom/>
      <diagonal/>
    </border>
    <border>
      <bottom style="medium">
        <color rgb="00111010"/>
      </bottom>
    </border>
    <border>
      <bottom style="hair">
        <color rgb="00D9D9D9"/>
      </bottom>
    </border>
    <border>
      <top style="double">
        <color rgb="00000000"/>
      </top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4" pivotButton="0" quotePrefix="0" xfId="0"/>
    <xf numFmtId="0" fontId="0" fillId="0" borderId="4" pivotButton="0" quotePrefix="0" xfId="0"/>
    <xf numFmtId="0" fontId="2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right" vertical="center" wrapText="1"/>
    </xf>
    <xf numFmtId="0" fontId="8" fillId="0" borderId="4" applyAlignment="1" pivotButton="0" quotePrefix="0" xfId="0">
      <alignment horizontal="left" vertical="center" wrapText="1"/>
    </xf>
    <xf numFmtId="164" fontId="5" fillId="0" borderId="4" applyAlignment="1" pivotButton="0" quotePrefix="0" xfId="0">
      <alignment horizontal="right" vertical="center" wrapText="1"/>
    </xf>
    <xf numFmtId="165" fontId="5" fillId="0" borderId="2" applyAlignment="1" pivotButton="0" quotePrefix="0" xfId="0">
      <alignment horizontal="right" vertical="center" wrapText="1"/>
    </xf>
    <xf numFmtId="164" fontId="5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 wrapText="1"/>
    </xf>
    <xf numFmtId="165" fontId="5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4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164" fontId="6" fillId="0" borderId="3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right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164" fontId="4" fillId="3" borderId="2" applyAlignment="1" pivotButton="0" quotePrefix="0" xfId="0">
      <alignment horizontal="right" vertical="center" wrapText="1"/>
    </xf>
    <xf numFmtId="164" fontId="5" fillId="3" borderId="2" applyAlignment="1" pivotButton="0" quotePrefix="0" xfId="0">
      <alignment horizontal="right" vertical="center" wrapText="1"/>
    </xf>
    <xf numFmtId="165" fontId="5" fillId="3" borderId="2" applyAlignment="1" pivotButton="0" quotePrefix="0" xfId="0">
      <alignment horizontal="right" vertical="center" wrapText="1"/>
    </xf>
    <xf numFmtId="0" fontId="6" fillId="0" borderId="3" pivotButton="0" quotePrefix="0" xfId="0"/>
    <xf numFmtId="0" fontId="6" fillId="0" borderId="3" applyAlignment="1" pivotButton="0" quotePrefix="0" xfId="0">
      <alignment horizontal="left" vertical="center" wrapText="1"/>
    </xf>
    <xf numFmtId="165" fontId="6" fillId="0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" customWidth="1" min="3" max="3"/>
    <col width="30" customWidth="1" min="4" max="4"/>
    <col width="22" customWidth="1" min="5" max="5"/>
  </cols>
  <sheetData>
    <row r="1">
      <c r="A1" s="1" t="inlineStr">
        <is>
          <t>AIA DOCUMENT G702 — APPLICATION AND CERTIFICATE FOR PAYMENT</t>
        </is>
      </c>
    </row>
    <row r="2">
      <c r="A2" s="2" t="inlineStr">
        <is>
          <t>TO OWNER: Riverton Office Park LLC</t>
        </is>
      </c>
      <c r="D2" s="2" t="inlineStr">
        <is>
          <t>PROJECT: Riverton Office Park — HVAC &amp; Plumbing</t>
        </is>
      </c>
    </row>
    <row r="3">
      <c r="A3" s="3" t="inlineStr">
        <is>
          <t xml:space="preserve">  PO Box 8840, Detroit MI 48226</t>
        </is>
      </c>
      <c r="D3" s="3" t="inlineStr">
        <is>
          <t xml:space="preserve">  2100 Riverton Blvd, Suite 300, Detroit MI 48226</t>
        </is>
      </c>
    </row>
    <row r="4">
      <c r="A4" s="2" t="inlineStr">
        <is>
          <t>FROM CONTRACTOR: Apex Mechanical Corp</t>
        </is>
      </c>
      <c r="D4" s="2" t="inlineStr">
        <is>
          <t>VIA ARCHITECT: Harmon Design Group</t>
        </is>
      </c>
    </row>
    <row r="5">
      <c r="A5" s="3" t="inlineStr">
        <is>
          <t xml:space="preserve">  7200 Industrial Pkwy, Dearborn MI 48126</t>
        </is>
      </c>
      <c r="D5" s="3" t="inlineStr">
        <is>
          <t xml:space="preserve">  455 W Fort St, Suite 600, Detroit MI 48226</t>
        </is>
      </c>
    </row>
    <row r="7">
      <c r="A7" s="4" t="inlineStr">
        <is>
          <t>APPLICATION NO: 4</t>
        </is>
      </c>
      <c r="D7" s="4" t="inlineStr">
        <is>
          <t>PERIOD TO: March 31, 2026</t>
        </is>
      </c>
    </row>
    <row r="8">
      <c r="A8" s="2" t="inlineStr">
        <is>
          <t>PROJECT NO: MEC-2025-042</t>
        </is>
      </c>
      <c r="D8" s="2" t="inlineStr">
        <is>
          <t>APPLICATION DATE: April 1, 2026</t>
        </is>
      </c>
    </row>
    <row r="9" ht="6" customHeight="1"/>
    <row r="10">
      <c r="A10" s="5" t="inlineStr">
        <is>
          <t>CONTRACTOR'S APPLICATION FOR PAYMENT</t>
        </is>
      </c>
      <c r="B10" s="6" t="n"/>
      <c r="D10" s="5" t="inlineStr">
        <is>
          <t>SUMMARY METRICS</t>
        </is>
      </c>
      <c r="E10" s="6" t="n"/>
    </row>
    <row r="11">
      <c r="A11" s="7" t="inlineStr">
        <is>
          <t>1. ORIGINAL CONTRACT SUM</t>
        </is>
      </c>
      <c r="B11" s="8" t="n">
        <v>1680000</v>
      </c>
      <c r="D11" s="9" t="inlineStr">
        <is>
          <t>Contract Sum to Date</t>
        </is>
      </c>
      <c r="E11" s="10">
        <f>B13</f>
        <v/>
      </c>
    </row>
    <row r="12">
      <c r="A12" s="7" t="inlineStr">
        <is>
          <t>2. Net Change by Change Orders</t>
        </is>
      </c>
      <c r="B12" s="8" t="n">
        <v>124500</v>
      </c>
      <c r="D12" s="9" t="inlineStr">
        <is>
          <t>Total Completed &amp; Stored</t>
        </is>
      </c>
      <c r="E12" s="10">
        <f>B14</f>
        <v/>
      </c>
    </row>
    <row r="13">
      <c r="A13" s="11" t="inlineStr">
        <is>
          <t>3. CONTRACT SUM TO DATE (Line 1 + 2)</t>
        </is>
      </c>
      <c r="B13" s="12">
        <f>B11+B12</f>
        <v/>
      </c>
      <c r="D13" s="9" t="inlineStr">
        <is>
          <t>% Complete (Overall)</t>
        </is>
      </c>
      <c r="E13" s="13">
        <f>IF(B13=0,0,B14/B13)</f>
        <v/>
      </c>
    </row>
    <row r="14">
      <c r="A14" s="7" t="inlineStr">
        <is>
          <t>4. TOTAL COMPLETED &amp; STORED TO DATE</t>
        </is>
      </c>
      <c r="B14" s="14">
        <f>'G703'!G22</f>
        <v/>
      </c>
      <c r="D14" s="9" t="inlineStr">
        <is>
          <t>Total Retainage Held</t>
        </is>
      </c>
      <c r="E14" s="10">
        <f>B19</f>
        <v/>
      </c>
    </row>
    <row r="15">
      <c r="A15" s="15" t="inlineStr">
        <is>
          <t xml:space="preserve">    (Column G on G703, as % of Line 3)</t>
        </is>
      </c>
      <c r="B15" s="16">
        <f>IF(B13=0,0,B14/B13)</f>
        <v/>
      </c>
      <c r="D15" s="9" t="inlineStr">
        <is>
          <t>Previous Certificates</t>
        </is>
      </c>
      <c r="E15" s="10">
        <f>B21</f>
        <v/>
      </c>
    </row>
    <row r="16">
      <c r="A16" s="17" t="inlineStr">
        <is>
          <t>5. RETAINAGE:</t>
        </is>
      </c>
      <c r="D16" s="9" t="inlineStr">
        <is>
          <t>Current Payment Due</t>
        </is>
      </c>
      <c r="E16" s="10">
        <f>B22</f>
        <v/>
      </c>
    </row>
    <row r="17">
      <c r="A17" s="7" t="inlineStr">
        <is>
          <t xml:space="preserve">   a. 10% of Completed Work (D+E on G703)</t>
        </is>
      </c>
      <c r="B17" s="14">
        <f>('G703'!D22+'G703'!E22)*0.1</f>
        <v/>
      </c>
      <c r="D17" s="9" t="inlineStr">
        <is>
          <t>Balance to Finish</t>
        </is>
      </c>
      <c r="E17" s="10">
        <f>B23</f>
        <v/>
      </c>
    </row>
    <row r="18">
      <c r="A18" s="7" t="inlineStr">
        <is>
          <t xml:space="preserve">   b. 0% of Stored Material (F on G703)</t>
        </is>
      </c>
      <c r="B18" s="14">
        <f>'G703'!F22*0.0</f>
        <v/>
      </c>
      <c r="D18" s="9" t="inlineStr">
        <is>
          <t>Application Number</t>
        </is>
      </c>
      <c r="E18" s="18" t="n">
        <v>4</v>
      </c>
    </row>
    <row r="19">
      <c r="A19" s="19" t="inlineStr">
        <is>
          <t xml:space="preserve">   c. Total Retainage (Lines 5a + 5b)</t>
        </is>
      </c>
      <c r="B19" s="12">
        <f>B17+B18</f>
        <v/>
      </c>
    </row>
    <row r="20">
      <c r="A20" s="11" t="inlineStr">
        <is>
          <t>6. TOTAL EARNED LESS RETAINAGE (Line 4 - 5c)</t>
        </is>
      </c>
      <c r="B20" s="12">
        <f>B14-B19</f>
        <v/>
      </c>
    </row>
    <row r="21">
      <c r="A21" s="7" t="inlineStr">
        <is>
          <t>7. LESS PREVIOUS CERTIFICATES FOR PAYMENT</t>
        </is>
      </c>
      <c r="B21" s="8" t="n">
        <v>612845</v>
      </c>
    </row>
    <row r="22">
      <c r="A22" s="20" t="inlineStr">
        <is>
          <t>8. CURRENT PAYMENT DUE (Line 6 - 7)</t>
        </is>
      </c>
      <c r="B22" s="21">
        <f>B20-B21</f>
        <v/>
      </c>
    </row>
    <row r="23">
      <c r="A23" s="7" t="inlineStr">
        <is>
          <t>9. BALANCE TO FINISH, INCL. RETAINAGE (Line 3 - 4)</t>
        </is>
      </c>
      <c r="B23" s="14">
        <f>B13-B14</f>
        <v/>
      </c>
    </row>
  </sheetData>
  <mergeCells count="15">
    <mergeCell ref="A4:B4"/>
    <mergeCell ref="D8:E8"/>
    <mergeCell ref="A2:B2"/>
    <mergeCell ref="D7:E7"/>
    <mergeCell ref="D2:E2"/>
    <mergeCell ref="A7:B7"/>
    <mergeCell ref="D10:E10"/>
    <mergeCell ref="D5:E5"/>
    <mergeCell ref="A5:B5"/>
    <mergeCell ref="A10:B10"/>
    <mergeCell ref="A1:E1"/>
    <mergeCell ref="D4:E4"/>
    <mergeCell ref="A8:B8"/>
    <mergeCell ref="D3:E3"/>
    <mergeCell ref="A3:B3"/>
  </mergeCells>
  <pageMargins left="0.75" right="0.75" top="1" bottom="1" header="0.5" footer="0.5"/>
  <pageSetup orientation="portrait" fitToHeight="1" fitToWidth="1"/>
  <headerFooter>
    <oddHeader/>
    <oddFooter>&amp;CAIA G702 — Application for Payment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J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10" customWidth="1" min="8" max="8"/>
    <col width="16" customWidth="1" min="9" max="9"/>
    <col width="14" customWidth="1" min="10" max="10"/>
  </cols>
  <sheetData>
    <row r="1">
      <c r="A1" s="1" t="inlineStr">
        <is>
          <t>AIA DOCUMENT G703 — CONTINUATION SHEET</t>
        </is>
      </c>
    </row>
    <row r="2">
      <c r="A2" s="2" t="inlineStr">
        <is>
          <t>Project: Riverton Office Park — HVAC &amp; Plumbing</t>
        </is>
      </c>
      <c r="F2" s="2" t="inlineStr">
        <is>
          <t>Application No: 4   Period To: March 31, 2026</t>
        </is>
      </c>
    </row>
    <row r="3">
      <c r="A3" s="2" t="inlineStr">
        <is>
          <t>Project No: MEC-2025-042</t>
        </is>
      </c>
      <c r="F3" s="2" t="inlineStr">
        <is>
          <t>Architect: Harmon Design Group</t>
        </is>
      </c>
    </row>
    <row r="4">
      <c r="A4" s="2" t="inlineStr">
        <is>
          <t>Contractor: Apex Mechanical Corp</t>
        </is>
      </c>
    </row>
    <row r="5" ht="6" customHeight="1"/>
    <row r="6" ht="48" customHeight="1">
      <c r="A6" s="22" t="inlineStr">
        <is>
          <t>Item
No.</t>
        </is>
      </c>
      <c r="B6" s="23" t="inlineStr">
        <is>
          <t>Description of Work</t>
        </is>
      </c>
      <c r="C6" s="24" t="inlineStr">
        <is>
          <t>Scheduled
Value</t>
        </is>
      </c>
      <c r="D6" s="24" t="inlineStr">
        <is>
          <t>Work Completed
From Previous
Application</t>
        </is>
      </c>
      <c r="E6" s="24" t="inlineStr">
        <is>
          <t>Work Completed
This Period</t>
        </is>
      </c>
      <c r="F6" s="24" t="inlineStr">
        <is>
          <t>Materials
Presently
Stored</t>
        </is>
      </c>
      <c r="G6" s="24" t="inlineStr">
        <is>
          <t>Total Completed
&amp; Stored
To Date</t>
        </is>
      </c>
      <c r="H6" s="24" t="inlineStr">
        <is>
          <t>%
Complete</t>
        </is>
      </c>
      <c r="I6" s="24" t="inlineStr">
        <is>
          <t>Balance
To Finish</t>
        </is>
      </c>
      <c r="J6" s="24" t="inlineStr">
        <is>
          <t>Retainage</t>
        </is>
      </c>
    </row>
    <row r="7">
      <c r="A7" s="25" t="inlineStr">
        <is>
          <t>1</t>
        </is>
      </c>
      <c r="B7" s="9" t="inlineStr">
        <is>
          <t>General Conditions / Project Management</t>
        </is>
      </c>
      <c r="C7" s="26" t="n">
        <v>84000</v>
      </c>
      <c r="D7" s="26" t="n">
        <v>63000</v>
      </c>
      <c r="E7" s="26" t="n">
        <v>7000</v>
      </c>
      <c r="F7" s="26" t="n">
        <v>0</v>
      </c>
      <c r="G7" s="10">
        <f>D7+E7+F7</f>
        <v/>
      </c>
      <c r="H7" s="13">
        <f>IF(C7=0,0,G7/C7)</f>
        <v/>
      </c>
      <c r="I7" s="10">
        <f>C7-G7</f>
        <v/>
      </c>
      <c r="J7" s="10">
        <f>(D7+E7)*0.1+F7*0.0</f>
        <v/>
      </c>
    </row>
    <row r="8">
      <c r="A8" s="27" t="inlineStr">
        <is>
          <t>2</t>
        </is>
      </c>
      <c r="B8" s="28" t="inlineStr">
        <is>
          <t>Demolition &amp; Removal of Existing Systems</t>
        </is>
      </c>
      <c r="C8" s="29" t="n">
        <v>52000</v>
      </c>
      <c r="D8" s="29" t="n">
        <v>52000</v>
      </c>
      <c r="E8" s="29" t="n">
        <v>0</v>
      </c>
      <c r="F8" s="29" t="n">
        <v>0</v>
      </c>
      <c r="G8" s="30">
        <f>D8+E8+F8</f>
        <v/>
      </c>
      <c r="H8" s="31">
        <f>IF(C8=0,0,G8/C8)</f>
        <v/>
      </c>
      <c r="I8" s="30">
        <f>C8-G8</f>
        <v/>
      </c>
      <c r="J8" s="30">
        <f>(D8+E8)*0.1+F8*0.0</f>
        <v/>
      </c>
    </row>
    <row r="9">
      <c r="A9" s="25" t="inlineStr">
        <is>
          <t>3</t>
        </is>
      </c>
      <c r="B9" s="9" t="inlineStr">
        <is>
          <t>Ductwork — Supply &amp; Return</t>
        </is>
      </c>
      <c r="C9" s="26" t="n">
        <v>218000</v>
      </c>
      <c r="D9" s="26" t="n">
        <v>174400</v>
      </c>
      <c r="E9" s="26" t="n">
        <v>32700</v>
      </c>
      <c r="F9" s="26" t="n">
        <v>0</v>
      </c>
      <c r="G9" s="10">
        <f>D9+E9+F9</f>
        <v/>
      </c>
      <c r="H9" s="13">
        <f>IF(C9=0,0,G9/C9)</f>
        <v/>
      </c>
      <c r="I9" s="10">
        <f>C9-G9</f>
        <v/>
      </c>
      <c r="J9" s="10">
        <f>(D9+E9)*0.1+F9*0.0</f>
        <v/>
      </c>
    </row>
    <row r="10">
      <c r="A10" s="27" t="inlineStr">
        <is>
          <t>4</t>
        </is>
      </c>
      <c r="B10" s="28" t="inlineStr">
        <is>
          <t>VAV Boxes &amp; Controls</t>
        </is>
      </c>
      <c r="C10" s="29" t="n">
        <v>165000</v>
      </c>
      <c r="D10" s="29" t="n">
        <v>82500</v>
      </c>
      <c r="E10" s="29" t="n">
        <v>49500</v>
      </c>
      <c r="F10" s="29" t="n">
        <v>16500</v>
      </c>
      <c r="G10" s="30">
        <f>D10+E10+F10</f>
        <v/>
      </c>
      <c r="H10" s="31">
        <f>IF(C10=0,0,G10/C10)</f>
        <v/>
      </c>
      <c r="I10" s="30">
        <f>C10-G10</f>
        <v/>
      </c>
      <c r="J10" s="30">
        <f>(D10+E10)*0.1+F10*0.0</f>
        <v/>
      </c>
    </row>
    <row r="11">
      <c r="A11" s="25" t="inlineStr">
        <is>
          <t>5</t>
        </is>
      </c>
      <c r="B11" s="9" t="inlineStr">
        <is>
          <t>Rooftop Units (RTU) — 3 units</t>
        </is>
      </c>
      <c r="C11" s="26" t="n">
        <v>310000</v>
      </c>
      <c r="D11" s="26" t="n">
        <v>310000</v>
      </c>
      <c r="E11" s="26" t="n">
        <v>0</v>
      </c>
      <c r="F11" s="26" t="n">
        <v>0</v>
      </c>
      <c r="G11" s="10">
        <f>D11+E11+F11</f>
        <v/>
      </c>
      <c r="H11" s="13">
        <f>IF(C11=0,0,G11/C11)</f>
        <v/>
      </c>
      <c r="I11" s="10">
        <f>C11-G11</f>
        <v/>
      </c>
      <c r="J11" s="10">
        <f>(D11+E11)*0.1+F11*0.0</f>
        <v/>
      </c>
    </row>
    <row r="12">
      <c r="A12" s="27" t="inlineStr">
        <is>
          <t>6</t>
        </is>
      </c>
      <c r="B12" s="28" t="inlineStr">
        <is>
          <t>Chilled Water Piping</t>
        </is>
      </c>
      <c r="C12" s="29" t="n">
        <v>142000</v>
      </c>
      <c r="D12" s="29" t="n">
        <v>71000</v>
      </c>
      <c r="E12" s="29" t="n">
        <v>42600</v>
      </c>
      <c r="F12" s="29" t="n">
        <v>8520</v>
      </c>
      <c r="G12" s="30">
        <f>D12+E12+F12</f>
        <v/>
      </c>
      <c r="H12" s="31">
        <f>IF(C12=0,0,G12/C12)</f>
        <v/>
      </c>
      <c r="I12" s="30">
        <f>C12-G12</f>
        <v/>
      </c>
      <c r="J12" s="30">
        <f>(D12+E12)*0.1+F12*0.0</f>
        <v/>
      </c>
    </row>
    <row r="13">
      <c r="A13" s="25" t="inlineStr">
        <is>
          <t>7</t>
        </is>
      </c>
      <c r="B13" s="9" t="inlineStr">
        <is>
          <t>Hot Water Piping &amp; Boiler Connections</t>
        </is>
      </c>
      <c r="C13" s="26" t="n">
        <v>98000</v>
      </c>
      <c r="D13" s="26" t="n">
        <v>49000</v>
      </c>
      <c r="E13" s="26" t="n">
        <v>24500</v>
      </c>
      <c r="F13" s="26" t="n">
        <v>0</v>
      </c>
      <c r="G13" s="10">
        <f>D13+E13+F13</f>
        <v/>
      </c>
      <c r="H13" s="13">
        <f>IF(C13=0,0,G13/C13)</f>
        <v/>
      </c>
      <c r="I13" s="10">
        <f>C13-G13</f>
        <v/>
      </c>
      <c r="J13" s="10">
        <f>(D13+E13)*0.1+F13*0.0</f>
        <v/>
      </c>
    </row>
    <row r="14">
      <c r="A14" s="27" t="inlineStr">
        <is>
          <t>8</t>
        </is>
      </c>
      <c r="B14" s="28" t="inlineStr">
        <is>
          <t>Plumbing — Rough-In</t>
        </is>
      </c>
      <c r="C14" s="29" t="n">
        <v>136000</v>
      </c>
      <c r="D14" s="29" t="n">
        <v>108800</v>
      </c>
      <c r="E14" s="29" t="n">
        <v>20400</v>
      </c>
      <c r="F14" s="29" t="n">
        <v>0</v>
      </c>
      <c r="G14" s="30">
        <f>D14+E14+F14</f>
        <v/>
      </c>
      <c r="H14" s="31">
        <f>IF(C14=0,0,G14/C14)</f>
        <v/>
      </c>
      <c r="I14" s="30">
        <f>C14-G14</f>
        <v/>
      </c>
      <c r="J14" s="30">
        <f>(D14+E14)*0.1+F14*0.0</f>
        <v/>
      </c>
    </row>
    <row r="15">
      <c r="A15" s="25" t="inlineStr">
        <is>
          <t>9</t>
        </is>
      </c>
      <c r="B15" s="9" t="inlineStr">
        <is>
          <t>Plumbing Fixtures &amp; Trim</t>
        </is>
      </c>
      <c r="C15" s="26" t="n">
        <v>74000</v>
      </c>
      <c r="D15" s="26" t="n">
        <v>0</v>
      </c>
      <c r="E15" s="26" t="n">
        <v>0</v>
      </c>
      <c r="F15" s="26" t="n">
        <v>37000</v>
      </c>
      <c r="G15" s="10">
        <f>D15+E15+F15</f>
        <v/>
      </c>
      <c r="H15" s="13">
        <f>IF(C15=0,0,G15/C15)</f>
        <v/>
      </c>
      <c r="I15" s="10">
        <f>C15-G15</f>
        <v/>
      </c>
      <c r="J15" s="10">
        <f>(D15+E15)*0.1+F15*0.0</f>
        <v/>
      </c>
    </row>
    <row r="16">
      <c r="A16" s="27" t="inlineStr">
        <is>
          <t>10</t>
        </is>
      </c>
      <c r="B16" s="28" t="inlineStr">
        <is>
          <t>Fire Sprinkler System</t>
        </is>
      </c>
      <c r="C16" s="29" t="n">
        <v>95000</v>
      </c>
      <c r="D16" s="29" t="n">
        <v>47500</v>
      </c>
      <c r="E16" s="29" t="n">
        <v>28500</v>
      </c>
      <c r="F16" s="29" t="n">
        <v>0</v>
      </c>
      <c r="G16" s="30">
        <f>D16+E16+F16</f>
        <v/>
      </c>
      <c r="H16" s="31">
        <f>IF(C16=0,0,G16/C16)</f>
        <v/>
      </c>
      <c r="I16" s="30">
        <f>C16-G16</f>
        <v/>
      </c>
      <c r="J16" s="30">
        <f>(D16+E16)*0.1+F16*0.0</f>
        <v/>
      </c>
    </row>
    <row r="17">
      <c r="A17" s="25" t="inlineStr">
        <is>
          <t>11</t>
        </is>
      </c>
      <c r="B17" s="9" t="inlineStr">
        <is>
          <t>Building Automation System (BAS)</t>
        </is>
      </c>
      <c r="C17" s="26" t="n">
        <v>112000</v>
      </c>
      <c r="D17" s="26" t="n">
        <v>33600</v>
      </c>
      <c r="E17" s="26" t="n">
        <v>22400</v>
      </c>
      <c r="F17" s="26" t="n">
        <v>0</v>
      </c>
      <c r="G17" s="10">
        <f>D17+E17+F17</f>
        <v/>
      </c>
      <c r="H17" s="13">
        <f>IF(C17=0,0,G17/C17)</f>
        <v/>
      </c>
      <c r="I17" s="10">
        <f>C17-G17</f>
        <v/>
      </c>
      <c r="J17" s="10">
        <f>(D17+E17)*0.1+F17*0.0</f>
        <v/>
      </c>
    </row>
    <row r="18">
      <c r="A18" s="27" t="inlineStr">
        <is>
          <t>12</t>
        </is>
      </c>
      <c r="B18" s="28" t="inlineStr">
        <is>
          <t>Insulation — Duct &amp; Pipe</t>
        </is>
      </c>
      <c r="C18" s="29" t="n">
        <v>68000</v>
      </c>
      <c r="D18" s="29" t="n">
        <v>34000</v>
      </c>
      <c r="E18" s="29" t="n">
        <v>17000</v>
      </c>
      <c r="F18" s="29" t="n">
        <v>0</v>
      </c>
      <c r="G18" s="30">
        <f>D18+E18+F18</f>
        <v/>
      </c>
      <c r="H18" s="31">
        <f>IF(C18=0,0,G18/C18)</f>
        <v/>
      </c>
      <c r="I18" s="30">
        <f>C18-G18</f>
        <v/>
      </c>
      <c r="J18" s="30">
        <f>(D18+E18)*0.1+F18*0.0</f>
        <v/>
      </c>
    </row>
    <row r="19">
      <c r="A19" s="25" t="inlineStr">
        <is>
          <t>13</t>
        </is>
      </c>
      <c r="B19" s="9" t="inlineStr">
        <is>
          <t>Testing, Adjusting &amp; Balancing (TAB)</t>
        </is>
      </c>
      <c r="C19" s="26" t="n">
        <v>45000</v>
      </c>
      <c r="D19" s="26" t="n">
        <v>0</v>
      </c>
      <c r="E19" s="26" t="n">
        <v>0</v>
      </c>
      <c r="F19" s="26" t="n">
        <v>0</v>
      </c>
      <c r="G19" s="10">
        <f>D19+E19+F19</f>
        <v/>
      </c>
      <c r="H19" s="13">
        <f>IF(C19=0,0,G19/C19)</f>
        <v/>
      </c>
      <c r="I19" s="10">
        <f>C19-G19</f>
        <v/>
      </c>
      <c r="J19" s="10">
        <f>(D19+E19)*0.1+F19*0.0</f>
        <v/>
      </c>
    </row>
    <row r="20">
      <c r="A20" s="27" t="inlineStr">
        <is>
          <t>14</t>
        </is>
      </c>
      <c r="B20" s="28" t="inlineStr">
        <is>
          <t>Commissioning &amp; Startup</t>
        </is>
      </c>
      <c r="C20" s="29" t="n">
        <v>38000</v>
      </c>
      <c r="D20" s="29" t="n">
        <v>0</v>
      </c>
      <c r="E20" s="29" t="n">
        <v>0</v>
      </c>
      <c r="F20" s="29" t="n">
        <v>0</v>
      </c>
      <c r="G20" s="30">
        <f>D20+E20+F20</f>
        <v/>
      </c>
      <c r="H20" s="31">
        <f>IF(C20=0,0,G20/C20)</f>
        <v/>
      </c>
      <c r="I20" s="30">
        <f>C20-G20</f>
        <v/>
      </c>
      <c r="J20" s="30">
        <f>(D20+E20)*0.1+F20*0.0</f>
        <v/>
      </c>
    </row>
    <row r="21">
      <c r="A21" s="25" t="inlineStr">
        <is>
          <t>15</t>
        </is>
      </c>
      <c r="B21" s="9" t="inlineStr">
        <is>
          <t>Approved Change Orders (CO #1-3)</t>
        </is>
      </c>
      <c r="C21" s="26" t="n">
        <v>167500</v>
      </c>
      <c r="D21" s="26" t="n">
        <v>58625</v>
      </c>
      <c r="E21" s="26" t="n">
        <v>33500</v>
      </c>
      <c r="F21" s="26" t="n">
        <v>0</v>
      </c>
      <c r="G21" s="10">
        <f>D21+E21+F21</f>
        <v/>
      </c>
      <c r="H21" s="13">
        <f>IF(C21=0,0,G21/C21)</f>
        <v/>
      </c>
      <c r="I21" s="10">
        <f>C21-G21</f>
        <v/>
      </c>
      <c r="J21" s="10">
        <f>(D21+E21)*0.1+F21*0.0</f>
        <v/>
      </c>
    </row>
    <row r="22">
      <c r="A22" s="32" t="n"/>
      <c r="B22" s="33" t="inlineStr">
        <is>
          <t>GRAND TOTAL</t>
        </is>
      </c>
      <c r="C22" s="21">
        <f>SUM(C7:C21)</f>
        <v/>
      </c>
      <c r="D22" s="21">
        <f>SUM(D7:D21)</f>
        <v/>
      </c>
      <c r="E22" s="21">
        <f>SUM(E7:E21)</f>
        <v/>
      </c>
      <c r="F22" s="21">
        <f>SUM(F7:F21)</f>
        <v/>
      </c>
      <c r="G22" s="21">
        <f>SUM(G7:G21)</f>
        <v/>
      </c>
      <c r="H22" s="34">
        <f>IF(C22=0,0,G22/C22)</f>
        <v/>
      </c>
      <c r="I22" s="21">
        <f>SUM(I7:I21)</f>
        <v/>
      </c>
      <c r="J22" s="21">
        <f>SUM(J7:J21)</f>
        <v/>
      </c>
    </row>
  </sheetData>
  <autoFilter ref="A6:J21"/>
  <mergeCells count="6">
    <mergeCell ref="A1:J1"/>
    <mergeCell ref="F3:J3"/>
    <mergeCell ref="A4:E4"/>
    <mergeCell ref="A2:E2"/>
    <mergeCell ref="F2:J2"/>
    <mergeCell ref="A3:E3"/>
  </mergeCells>
  <pageMargins left="0.75" right="0.75" top="1" bottom="1" header="0.5" footer="0.5"/>
  <pageSetup orientation="landscape" fitToHeight="0" fitToWidth="1"/>
  <headerFooter>
    <oddHeader/>
    <oddFooter>&amp;CAIA G703 —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1404 Labs</dc:creator>
  <dc:title xmlns:dc="http://purl.org/dc/elements/1.1/">AIA G702/G703 Application for Payment</dc:title>
  <dcterms:created xmlns:dcterms="http://purl.org/dc/terms/" xmlns:xsi="http://www.w3.org/2001/XMLSchema-instance" xsi:type="dcterms:W3CDTF">2026-04-07T19:44:21Z</dcterms:created>
  <dcterms:modified xmlns:dcterms="http://purl.org/dc/terms/" xmlns:xsi="http://www.w3.org/2001/XMLSchema-instance" xsi:type="dcterms:W3CDTF">2026-04-07T19:44:21Z</dcterms:modified>
</cp:coreProperties>
</file>