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ubcontractors" sheetId="2" state="visible" r:id="rId2"/>
    <sheet xmlns:r="http://schemas.openxmlformats.org/officeDocument/2006/relationships" name="Expiring Soon" sheetId="3" state="visible" r:id="rId3"/>
  </sheets>
  <definedNames>
    <definedName name="TotalSubcontractors">'Dashboard'!$B$6</definedName>
    <definedName name="CompliantCount">'Dashboard'!$B$6</definedName>
    <definedName name="ComplianceRate">'Dashboard'!$B$7</definedName>
    <definedName name="ExpiredCount">'Dashboard'!$D$6</definedName>
    <definedName name="_xlnm._FilterDatabase" localSheetId="1" hidden="1">'All Subcontractors'!$A$6:$R$18</definedName>
    <definedName name="_xlnm.Print_Titles" localSheetId="1">'All Subcontractors'!$1:$6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yyyy-mm-dd h:mm:ss"/>
    <numFmt numFmtId="166" formatCode="MM/DD/YYYY"/>
    <numFmt numFmtId="167" formatCode="0.0%"/>
  </numFmts>
  <fonts count="12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color rgb="009a948c"/>
      <sz val="8"/>
    </font>
    <font>
      <name val="Inter"/>
      <b val="1"/>
      <color rgb="00111010"/>
      <sz val="16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right" vertical="center" wrapText="1"/>
    </xf>
    <xf numFmtId="0" fontId="5" fillId="3" borderId="2" applyAlignment="1" pivotButton="0" quotePrefix="0" xfId="0">
      <alignment horizontal="left" vertical="center" wrapText="1"/>
    </xf>
    <xf numFmtId="3" fontId="7" fillId="3" borderId="2" applyAlignment="1" pivotButton="0" quotePrefix="0" xfId="0">
      <alignment horizontal="right" vertical="center" wrapText="1"/>
    </xf>
    <xf numFmtId="0" fontId="8" fillId="0" borderId="3" pivotButton="0" quotePrefix="0" xfId="0"/>
    <xf numFmtId="3" fontId="8" fillId="0" borderId="3" applyAlignment="1" pivotButton="0" quotePrefix="0" xfId="0">
      <alignment horizontal="right" vertical="center" wrapText="1"/>
    </xf>
    <xf numFmtId="0" fontId="2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164" fontId="6" fillId="0" borderId="2" applyAlignment="1" pivotButton="0" quotePrefix="0" xfId="0">
      <alignment horizontal="right" vertical="center" wrapText="1"/>
    </xf>
    <xf numFmtId="166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66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 wrapText="1"/>
    </xf>
    <xf numFmtId="166" fontId="6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166" fontId="7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8">
    <dxf>
      <font>
        <b val="1"/>
        <color rgb="00059669"/>
        <sz val="16"/>
      </font>
      <fill>
        <patternFill patternType="solid">
          <fgColor rgb="00D1FAE5"/>
          <bgColor rgb="00D1FAE5"/>
        </patternFill>
      </fill>
    </dxf>
    <dxf>
      <font>
        <b val="1"/>
        <color rgb="00DC2626"/>
        <sz val="16"/>
      </font>
      <fill>
        <patternFill patternType="solid">
          <fgColor rgb="00FEE2E2"/>
          <bgColor rgb="00FEE2E2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  <dxf>
      <font>
        <color rgb="00D97706"/>
      </font>
      <fill>
        <patternFill patternType="solid">
          <fgColor rgb="00FEF3C7"/>
          <bgColor rgb="00FEF3C7"/>
        </patternFill>
      </fill>
    </dxf>
    <dxf>
      <font>
        <color rgb="00059669"/>
      </font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Acme Construction LLC -- COI Compliance Dashboard</t>
        </is>
      </c>
    </row>
    <row r="2">
      <c r="A2" s="2" t="inlineStr">
        <is>
          <t>As of March 31, 2026</t>
        </is>
      </c>
    </row>
    <row r="3" ht="6" customHeight="1"/>
    <row r="4">
      <c r="A4" s="3" t="inlineStr">
        <is>
          <t>COMPLIANCE SUMMARY</t>
        </is>
      </c>
    </row>
    <row r="5">
      <c r="A5" s="4" t="inlineStr">
        <is>
          <t>Total Subcontractors</t>
        </is>
      </c>
      <c r="B5" s="4" t="inlineStr">
        <is>
          <t>Compliant</t>
        </is>
      </c>
      <c r="C5" s="4" t="inlineStr">
        <is>
          <t>Expiring (30 days)</t>
        </is>
      </c>
      <c r="D5" s="4" t="inlineStr">
        <is>
          <t>Expired</t>
        </is>
      </c>
      <c r="E5" s="4" t="inlineStr">
        <is>
          <t>Non-Compliant</t>
        </is>
      </c>
    </row>
    <row r="6">
      <c r="A6" s="5">
        <f>COUNTA('All Subcontractors'!A7:A18)</f>
        <v/>
      </c>
      <c r="B6" s="5">
        <f>COUNTIF('All Subcontractors'!Q7:Q18,"Compliant")</f>
        <v/>
      </c>
      <c r="C6" s="5">
        <f>COUNTIF('All Subcontractors'!Q7:Q18,"Expiring")</f>
        <v/>
      </c>
      <c r="D6" s="5">
        <f>COUNTIF('All Subcontractors'!Q7:Q18,"Expired")</f>
        <v/>
      </c>
      <c r="E6" s="5">
        <f>COUNTIF('All Subcontractors'!Q7:Q18,"Non-Compliant")</f>
        <v/>
      </c>
    </row>
    <row r="7">
      <c r="A7" s="4" t="inlineStr">
        <is>
          <t>Compliance Rate</t>
        </is>
      </c>
      <c r="B7" s="6">
        <f>IF(A6=0,0,B6/A6)</f>
        <v/>
      </c>
    </row>
    <row r="8" ht="6" customHeight="1"/>
    <row r="9">
      <c r="A9" s="3" t="inlineStr">
        <is>
          <t>BY TRADE</t>
        </is>
      </c>
    </row>
    <row r="10">
      <c r="A10" s="7" t="inlineStr">
        <is>
          <t>Trade</t>
        </is>
      </c>
      <c r="B10" s="7" t="inlineStr">
        <is>
          <t>Count</t>
        </is>
      </c>
      <c r="C10" s="7" t="inlineStr">
        <is>
          <t>Compliant</t>
        </is>
      </c>
      <c r="D10" s="7" t="inlineStr">
        <is>
          <t>Expiring</t>
        </is>
      </c>
      <c r="E10" s="7" t="inlineStr">
        <is>
          <t>Expired</t>
        </is>
      </c>
      <c r="F10" s="7" t="inlineStr">
        <is>
          <t>Non-Compliant</t>
        </is>
      </c>
    </row>
    <row r="11">
      <c r="A11" s="8" t="inlineStr">
        <is>
          <t>Concrete</t>
        </is>
      </c>
      <c r="B11" s="9">
        <f>COUNTIF('All Subcontractors'!B7:B18,A11)</f>
        <v/>
      </c>
      <c r="C11" s="9">
        <f>COUNTIFS('All Subcontractors'!B7:B18,A11,'All Subcontractors'!Q7:Q18,"Compliant")</f>
        <v/>
      </c>
      <c r="D11" s="9">
        <f>COUNTIFS('All Subcontractors'!B7:B18,A11,'All Subcontractors'!Q7:Q18,"Expiring")</f>
        <v/>
      </c>
      <c r="E11" s="9">
        <f>COUNTIFS('All Subcontractors'!B7:B18,A11,'All Subcontractors'!Q7:Q18,"Expired")</f>
        <v/>
      </c>
      <c r="F11" s="9">
        <f>COUNTIFS('All Subcontractors'!B7:B18,A11,'All Subcontractors'!Q7:Q18,"Non-Compliant")</f>
        <v/>
      </c>
    </row>
    <row r="12">
      <c r="A12" s="10" t="inlineStr">
        <is>
          <t>Drywall</t>
        </is>
      </c>
      <c r="B12" s="11">
        <f>COUNTIF('All Subcontractors'!B7:B18,A12)</f>
        <v/>
      </c>
      <c r="C12" s="11">
        <f>COUNTIFS('All Subcontractors'!B7:B18,A12,'All Subcontractors'!Q7:Q18,"Compliant")</f>
        <v/>
      </c>
      <c r="D12" s="11">
        <f>COUNTIFS('All Subcontractors'!B7:B18,A12,'All Subcontractors'!Q7:Q18,"Expiring")</f>
        <v/>
      </c>
      <c r="E12" s="11">
        <f>COUNTIFS('All Subcontractors'!B7:B18,A12,'All Subcontractors'!Q7:Q18,"Expired")</f>
        <v/>
      </c>
      <c r="F12" s="11">
        <f>COUNTIFS('All Subcontractors'!B7:B18,A12,'All Subcontractors'!Q7:Q18,"Non-Compliant")</f>
        <v/>
      </c>
    </row>
    <row r="13">
      <c r="A13" s="8" t="inlineStr">
        <is>
          <t>Electrical</t>
        </is>
      </c>
      <c r="B13" s="9">
        <f>COUNTIF('All Subcontractors'!B7:B18,A13)</f>
        <v/>
      </c>
      <c r="C13" s="9">
        <f>COUNTIFS('All Subcontractors'!B7:B18,A13,'All Subcontractors'!Q7:Q18,"Compliant")</f>
        <v/>
      </c>
      <c r="D13" s="9">
        <f>COUNTIFS('All Subcontractors'!B7:B18,A13,'All Subcontractors'!Q7:Q18,"Expiring")</f>
        <v/>
      </c>
      <c r="E13" s="9">
        <f>COUNTIFS('All Subcontractors'!B7:B18,A13,'All Subcontractors'!Q7:Q18,"Expired")</f>
        <v/>
      </c>
      <c r="F13" s="9">
        <f>COUNTIFS('All Subcontractors'!B7:B18,A13,'All Subcontractors'!Q7:Q18,"Non-Compliant")</f>
        <v/>
      </c>
    </row>
    <row r="14">
      <c r="A14" s="10" t="inlineStr">
        <is>
          <t>Excavation</t>
        </is>
      </c>
      <c r="B14" s="11">
        <f>COUNTIF('All Subcontractors'!B7:B18,A14)</f>
        <v/>
      </c>
      <c r="C14" s="11">
        <f>COUNTIFS('All Subcontractors'!B7:B18,A14,'All Subcontractors'!Q7:Q18,"Compliant")</f>
        <v/>
      </c>
      <c r="D14" s="11">
        <f>COUNTIFS('All Subcontractors'!B7:B18,A14,'All Subcontractors'!Q7:Q18,"Expiring")</f>
        <v/>
      </c>
      <c r="E14" s="11">
        <f>COUNTIFS('All Subcontractors'!B7:B18,A14,'All Subcontractors'!Q7:Q18,"Expired")</f>
        <v/>
      </c>
      <c r="F14" s="11">
        <f>COUNTIFS('All Subcontractors'!B7:B18,A14,'All Subcontractors'!Q7:Q18,"Non-Compliant")</f>
        <v/>
      </c>
    </row>
    <row r="15">
      <c r="A15" s="8" t="inlineStr">
        <is>
          <t>Fire Protection</t>
        </is>
      </c>
      <c r="B15" s="9">
        <f>COUNTIF('All Subcontractors'!B7:B18,A15)</f>
        <v/>
      </c>
      <c r="C15" s="9">
        <f>COUNTIFS('All Subcontractors'!B7:B18,A15,'All Subcontractors'!Q7:Q18,"Compliant")</f>
        <v/>
      </c>
      <c r="D15" s="9">
        <f>COUNTIFS('All Subcontractors'!B7:B18,A15,'All Subcontractors'!Q7:Q18,"Expiring")</f>
        <v/>
      </c>
      <c r="E15" s="9">
        <f>COUNTIFS('All Subcontractors'!B7:B18,A15,'All Subcontractors'!Q7:Q18,"Expired")</f>
        <v/>
      </c>
      <c r="F15" s="9">
        <f>COUNTIFS('All Subcontractors'!B7:B18,A15,'All Subcontractors'!Q7:Q18,"Non-Compliant")</f>
        <v/>
      </c>
    </row>
    <row r="16">
      <c r="A16" s="10" t="inlineStr">
        <is>
          <t>HVAC</t>
        </is>
      </c>
      <c r="B16" s="11">
        <f>COUNTIF('All Subcontractors'!B7:B18,A16)</f>
        <v/>
      </c>
      <c r="C16" s="11">
        <f>COUNTIFS('All Subcontractors'!B7:B18,A16,'All Subcontractors'!Q7:Q18,"Compliant")</f>
        <v/>
      </c>
      <c r="D16" s="11">
        <f>COUNTIFS('All Subcontractors'!B7:B18,A16,'All Subcontractors'!Q7:Q18,"Expiring")</f>
        <v/>
      </c>
      <c r="E16" s="11">
        <f>COUNTIFS('All Subcontractors'!B7:B18,A16,'All Subcontractors'!Q7:Q18,"Expired")</f>
        <v/>
      </c>
      <c r="F16" s="11">
        <f>COUNTIFS('All Subcontractors'!B7:B18,A16,'All Subcontractors'!Q7:Q18,"Non-Compliant")</f>
        <v/>
      </c>
    </row>
    <row r="17">
      <c r="A17" s="8" t="inlineStr">
        <is>
          <t>Plumbing</t>
        </is>
      </c>
      <c r="B17" s="9">
        <f>COUNTIF('All Subcontractors'!B7:B18,A17)</f>
        <v/>
      </c>
      <c r="C17" s="9">
        <f>COUNTIFS('All Subcontractors'!B7:B18,A17,'All Subcontractors'!Q7:Q18,"Compliant")</f>
        <v/>
      </c>
      <c r="D17" s="9">
        <f>COUNTIFS('All Subcontractors'!B7:B18,A17,'All Subcontractors'!Q7:Q18,"Expiring")</f>
        <v/>
      </c>
      <c r="E17" s="9">
        <f>COUNTIFS('All Subcontractors'!B7:B18,A17,'All Subcontractors'!Q7:Q18,"Expired")</f>
        <v/>
      </c>
      <c r="F17" s="9">
        <f>COUNTIFS('All Subcontractors'!B7:B18,A17,'All Subcontractors'!Q7:Q18,"Non-Compliant")</f>
        <v/>
      </c>
    </row>
    <row r="18">
      <c r="A18" s="10" t="inlineStr">
        <is>
          <t>Roofing</t>
        </is>
      </c>
      <c r="B18" s="11">
        <f>COUNTIF('All Subcontractors'!B7:B18,A18)</f>
        <v/>
      </c>
      <c r="C18" s="11">
        <f>COUNTIFS('All Subcontractors'!B7:B18,A18,'All Subcontractors'!Q7:Q18,"Compliant")</f>
        <v/>
      </c>
      <c r="D18" s="11">
        <f>COUNTIFS('All Subcontractors'!B7:B18,A18,'All Subcontractors'!Q7:Q18,"Expiring")</f>
        <v/>
      </c>
      <c r="E18" s="11">
        <f>COUNTIFS('All Subcontractors'!B7:B18,A18,'All Subcontractors'!Q7:Q18,"Expired")</f>
        <v/>
      </c>
      <c r="F18" s="11">
        <f>COUNTIFS('All Subcontractors'!B7:B18,A18,'All Subcontractors'!Q7:Q18,"Non-Compliant")</f>
        <v/>
      </c>
    </row>
    <row r="19">
      <c r="A19" s="8" t="inlineStr">
        <is>
          <t>Structural Steel</t>
        </is>
      </c>
      <c r="B19" s="9">
        <f>COUNTIF('All Subcontractors'!B7:B18,A19)</f>
        <v/>
      </c>
      <c r="C19" s="9">
        <f>COUNTIFS('All Subcontractors'!B7:B18,A19,'All Subcontractors'!Q7:Q18,"Compliant")</f>
        <v/>
      </c>
      <c r="D19" s="9">
        <f>COUNTIFS('All Subcontractors'!B7:B18,A19,'All Subcontractors'!Q7:Q18,"Expiring")</f>
        <v/>
      </c>
      <c r="E19" s="9">
        <f>COUNTIFS('All Subcontractors'!B7:B18,A19,'All Subcontractors'!Q7:Q18,"Expired")</f>
        <v/>
      </c>
      <c r="F19" s="9">
        <f>COUNTIFS('All Subcontractors'!B7:B18,A19,'All Subcontractors'!Q7:Q18,"Non-Compliant")</f>
        <v/>
      </c>
    </row>
    <row r="20">
      <c r="A20" s="12" t="inlineStr">
        <is>
          <t>TOTAL</t>
        </is>
      </c>
      <c r="B20" s="13">
        <f>SUM(B11:B19)</f>
        <v/>
      </c>
      <c r="C20" s="13">
        <f>SUM(C11:C19)</f>
        <v/>
      </c>
      <c r="D20" s="13">
        <f>SUM(D11:D19)</f>
        <v/>
      </c>
      <c r="E20" s="13">
        <f>SUM(E11:E19)</f>
        <v/>
      </c>
      <c r="F20" s="13">
        <f>SUM(F11:F19)</f>
        <v/>
      </c>
    </row>
  </sheetData>
  <mergeCells count="2">
    <mergeCell ref="A2:F2"/>
    <mergeCell ref="A1:F1"/>
  </mergeCells>
  <conditionalFormatting sqref="B7">
    <cfRule type="cellIs" priority="1" operator="greaterThanOrEqual" dxfId="0">
      <formula>0.9</formula>
    </cfRule>
    <cfRule type="cellIs" priority="2" operator="lessThan" dxfId="1">
      <formula>0.7</formula>
    </cfRule>
  </conditionalFormatting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R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6" customWidth="1" min="17" max="17"/>
    <col width="28" customWidth="1" min="18" max="18"/>
  </cols>
  <sheetData>
    <row r="1">
      <c r="A1" s="1" t="inlineStr">
        <is>
          <t>Acme Construction LLC</t>
        </is>
      </c>
    </row>
    <row r="2">
      <c r="A2" s="14" t="inlineStr">
        <is>
          <t>Certificate of Insurance Compliance Tracker</t>
        </is>
      </c>
    </row>
    <row r="3">
      <c r="A3" s="2" t="inlineStr">
        <is>
          <t>As of March 31, 2026</t>
        </is>
      </c>
    </row>
    <row r="4">
      <c r="A4" s="2" t="inlineStr">
        <is>
          <t>Prepared by 1404 Labs</t>
        </is>
      </c>
    </row>
    <row r="5" ht="6" customHeight="1"/>
    <row r="6" ht="32" customHeight="1">
      <c r="A6" s="15" t="inlineStr">
        <is>
          <t>Subcontractor</t>
        </is>
      </c>
      <c r="B6" s="15" t="inlineStr">
        <is>
          <t>Trade</t>
        </is>
      </c>
      <c r="C6" s="16" t="inlineStr">
        <is>
          <t>GL Limit</t>
        </is>
      </c>
      <c r="D6" s="15" t="inlineStr">
        <is>
          <t>GL Expiration</t>
        </is>
      </c>
      <c r="E6" s="16" t="inlineStr">
        <is>
          <t>WC Limit</t>
        </is>
      </c>
      <c r="F6" s="15" t="inlineStr">
        <is>
          <t>WC Expiration</t>
        </is>
      </c>
      <c r="G6" s="16" t="inlineStr">
        <is>
          <t>Auto Limit</t>
        </is>
      </c>
      <c r="H6" s="15" t="inlineStr">
        <is>
          <t>Auto Expiration</t>
        </is>
      </c>
      <c r="I6" s="16" t="inlineStr">
        <is>
          <t>Umbrella Limit</t>
        </is>
      </c>
      <c r="J6" s="15" t="inlineStr">
        <is>
          <t>Umbrella Expiration</t>
        </is>
      </c>
      <c r="K6" s="7" t="inlineStr">
        <is>
          <t>Addl Insured</t>
        </is>
      </c>
      <c r="L6" s="7" t="inlineStr">
        <is>
          <t>Waiver of
Subrogation</t>
        </is>
      </c>
      <c r="M6" s="16" t="inlineStr">
        <is>
          <t>GL Days
Remaining</t>
        </is>
      </c>
      <c r="N6" s="16" t="inlineStr">
        <is>
          <t>WC Days
Remaining</t>
        </is>
      </c>
      <c r="O6" s="16" t="inlineStr">
        <is>
          <t>Earliest
Expiration</t>
        </is>
      </c>
      <c r="P6" s="16" t="inlineStr">
        <is>
          <t>Days to
Earliest Exp</t>
        </is>
      </c>
      <c r="Q6" s="16" t="inlineStr">
        <is>
          <t>Status</t>
        </is>
      </c>
      <c r="R6" s="15" t="inlineStr">
        <is>
          <t>Notes</t>
        </is>
      </c>
    </row>
    <row r="7">
      <c r="A7" s="8" t="inlineStr">
        <is>
          <t>Midwest Electric Inc</t>
        </is>
      </c>
      <c r="B7" s="8" t="inlineStr">
        <is>
          <t>Electrical</t>
        </is>
      </c>
      <c r="C7" s="17" t="n">
        <v>2000000</v>
      </c>
      <c r="D7" s="18" t="n">
        <v>46280</v>
      </c>
      <c r="E7" s="17" t="n">
        <v>1000000</v>
      </c>
      <c r="F7" s="18" t="n">
        <v>46280</v>
      </c>
      <c r="G7" s="17" t="n">
        <v>1000000</v>
      </c>
      <c r="H7" s="18" t="n">
        <v>46280</v>
      </c>
      <c r="I7" s="17" t="n">
        <v>5000000</v>
      </c>
      <c r="J7" s="18" t="n">
        <v>46280</v>
      </c>
      <c r="K7" s="19" t="inlineStr">
        <is>
          <t>Y</t>
        </is>
      </c>
      <c r="L7" s="19" t="inlineStr">
        <is>
          <t>Y</t>
        </is>
      </c>
      <c r="M7" s="9">
        <f>IF(D7="","",INT(D7-TODAY()))</f>
        <v/>
      </c>
      <c r="N7" s="9">
        <f>IF(F7="","",INT(F7-TODAY()))</f>
        <v/>
      </c>
      <c r="O7" s="20">
        <f>MIN(IF(D7&lt;&gt;"",D7,DATE(9999,12,31)),IF(F7&lt;&gt;"",F7,DATE(9999,12,31)),IF(H7&lt;&gt;"",H7,DATE(9999,12,31)),IF(J7&lt;&gt;"",J7,DATE(9999,12,31)))</f>
        <v/>
      </c>
      <c r="P7" s="9">
        <f>INT(O7-TODAY())</f>
        <v/>
      </c>
      <c r="Q7" s="21">
        <f>IF(P7&lt;0,"Expired",IF(P7&lt;=30,"Expiring",IF(OR(C7&lt;1000000,E7&lt;500000,G7&lt;1000000,K7="N"),"Non-Compliant","Compliant")))</f>
        <v/>
      </c>
      <c r="R7" s="8" t="n"/>
    </row>
    <row r="8">
      <c r="A8" s="10" t="inlineStr">
        <is>
          <t>Superior Plumbing Co</t>
        </is>
      </c>
      <c r="B8" s="10" t="inlineStr">
        <is>
          <t>Plumbing</t>
        </is>
      </c>
      <c r="C8" s="22" t="n">
        <v>1000000</v>
      </c>
      <c r="D8" s="23" t="n">
        <v>46122</v>
      </c>
      <c r="E8" s="22" t="n">
        <v>500000</v>
      </c>
      <c r="F8" s="23" t="n">
        <v>46122</v>
      </c>
      <c r="G8" s="22" t="n">
        <v>1000000</v>
      </c>
      <c r="H8" s="23" t="n">
        <v>46122</v>
      </c>
      <c r="I8" s="22" t="n">
        <v>2000000</v>
      </c>
      <c r="J8" s="23" t="n">
        <v>46122</v>
      </c>
      <c r="K8" s="24" t="inlineStr">
        <is>
          <t>Y</t>
        </is>
      </c>
      <c r="L8" s="24" t="inlineStr">
        <is>
          <t>Y</t>
        </is>
      </c>
      <c r="M8" s="11">
        <f>IF(D8="","",INT(D8-TODAY()))</f>
        <v/>
      </c>
      <c r="N8" s="11">
        <f>IF(F8="","",INT(F8-TODAY()))</f>
        <v/>
      </c>
      <c r="O8" s="25">
        <f>MIN(IF(D8&lt;&gt;"",D8,DATE(9999,12,31)),IF(F8&lt;&gt;"",F8,DATE(9999,12,31)),IF(H8&lt;&gt;"",H8,DATE(9999,12,31)),IF(J8&lt;&gt;"",J8,DATE(9999,12,31)))</f>
        <v/>
      </c>
      <c r="P8" s="11">
        <f>INT(O8-TODAY())</f>
        <v/>
      </c>
      <c r="Q8" s="26">
        <f>IF(P8&lt;0,"Expired",IF(P8&lt;=30,"Expiring",IF(OR(C8&lt;1000000,E8&lt;500000,G8&lt;1000000,K8="N"),"Non-Compliant","Compliant")))</f>
        <v/>
      </c>
      <c r="R8" s="10" t="inlineStr">
        <is>
          <t>Renewal pending -- carrier confirmed</t>
        </is>
      </c>
    </row>
    <row r="9">
      <c r="A9" s="8" t="inlineStr">
        <is>
          <t>Allied HVAC Systems</t>
        </is>
      </c>
      <c r="B9" s="8" t="inlineStr">
        <is>
          <t>HVAC</t>
        </is>
      </c>
      <c r="C9" s="17" t="n">
        <v>2000000</v>
      </c>
      <c r="D9" s="18" t="n">
        <v>46357</v>
      </c>
      <c r="E9" s="17" t="n">
        <v>1000000</v>
      </c>
      <c r="F9" s="18" t="n">
        <v>46357</v>
      </c>
      <c r="G9" s="17" t="n">
        <v>1000000</v>
      </c>
      <c r="H9" s="18" t="n">
        <v>46357</v>
      </c>
      <c r="I9" s="17" t="n">
        <v>5000000</v>
      </c>
      <c r="J9" s="18" t="n">
        <v>46357</v>
      </c>
      <c r="K9" s="19" t="inlineStr">
        <is>
          <t>Y</t>
        </is>
      </c>
      <c r="L9" s="19" t="inlineStr">
        <is>
          <t>Y</t>
        </is>
      </c>
      <c r="M9" s="9">
        <f>IF(D9="","",INT(D9-TODAY()))</f>
        <v/>
      </c>
      <c r="N9" s="9">
        <f>IF(F9="","",INT(F9-TODAY()))</f>
        <v/>
      </c>
      <c r="O9" s="20">
        <f>MIN(IF(D9&lt;&gt;"",D9,DATE(9999,12,31)),IF(F9&lt;&gt;"",F9,DATE(9999,12,31)),IF(H9&lt;&gt;"",H9,DATE(9999,12,31)),IF(J9&lt;&gt;"",J9,DATE(9999,12,31)))</f>
        <v/>
      </c>
      <c r="P9" s="9">
        <f>INT(O9-TODAY())</f>
        <v/>
      </c>
      <c r="Q9" s="21">
        <f>IF(P9&lt;0,"Expired",IF(P9&lt;=30,"Expiring",IF(OR(C9&lt;1000000,E9&lt;500000,G9&lt;1000000,K9="N"),"Non-Compliant","Compliant")))</f>
        <v/>
      </c>
      <c r="R9" s="8" t="n"/>
    </row>
    <row r="10">
      <c r="A10" s="10" t="inlineStr">
        <is>
          <t>Ironworks Structural LLC</t>
        </is>
      </c>
      <c r="B10" s="10" t="inlineStr">
        <is>
          <t>Structural Steel</t>
        </is>
      </c>
      <c r="C10" s="22" t="n">
        <v>2000000</v>
      </c>
      <c r="D10" s="23" t="n">
        <v>46081</v>
      </c>
      <c r="E10" s="22" t="n">
        <v>1000000</v>
      </c>
      <c r="F10" s="23" t="n">
        <v>46081</v>
      </c>
      <c r="G10" s="22" t="n">
        <v>1000000</v>
      </c>
      <c r="H10" s="23" t="n">
        <v>46081</v>
      </c>
      <c r="I10" s="22" t="n">
        <v>3000000</v>
      </c>
      <c r="J10" s="23" t="n">
        <v>46081</v>
      </c>
      <c r="K10" s="24" t="inlineStr">
        <is>
          <t>Y</t>
        </is>
      </c>
      <c r="L10" s="24" t="inlineStr">
        <is>
          <t>N</t>
        </is>
      </c>
      <c r="M10" s="11">
        <f>IF(D10="","",INT(D10-TODAY()))</f>
        <v/>
      </c>
      <c r="N10" s="11">
        <f>IF(F10="","",INT(F10-TODAY()))</f>
        <v/>
      </c>
      <c r="O10" s="25">
        <f>MIN(IF(D10&lt;&gt;"",D10,DATE(9999,12,31)),IF(F10&lt;&gt;"",F10,DATE(9999,12,31)),IF(H10&lt;&gt;"",H10,DATE(9999,12,31)),IF(J10&lt;&gt;"",J10,DATE(9999,12,31)))</f>
        <v/>
      </c>
      <c r="P10" s="11">
        <f>INT(O10-TODAY())</f>
        <v/>
      </c>
      <c r="Q10" s="26">
        <f>IF(P10&lt;0,"Expired",IF(P10&lt;=30,"Expiring",IF(OR(C10&lt;1000000,E10&lt;500000,G10&lt;1000000,K10="N"),"Non-Compliant","Compliant")))</f>
        <v/>
      </c>
      <c r="R10" s="10" t="inlineStr">
        <is>
          <t>EXPIRED -- renewal requested 3/15</t>
        </is>
      </c>
    </row>
    <row r="11">
      <c r="A11" s="8" t="inlineStr">
        <is>
          <t>Precision Concrete Inc</t>
        </is>
      </c>
      <c r="B11" s="8" t="inlineStr">
        <is>
          <t>Concrete</t>
        </is>
      </c>
      <c r="C11" s="17" t="n">
        <v>1000000</v>
      </c>
      <c r="D11" s="18" t="n">
        <v>46223</v>
      </c>
      <c r="E11" s="17" t="n">
        <v>500000</v>
      </c>
      <c r="F11" s="18" t="n">
        <v>46223</v>
      </c>
      <c r="G11" s="17" t="n">
        <v>1000000</v>
      </c>
      <c r="H11" s="18" t="n">
        <v>46223</v>
      </c>
      <c r="I11" s="17" t="n">
        <v>2000000</v>
      </c>
      <c r="J11" s="18" t="n">
        <v>46223</v>
      </c>
      <c r="K11" s="19" t="inlineStr">
        <is>
          <t>Y</t>
        </is>
      </c>
      <c r="L11" s="19" t="inlineStr">
        <is>
          <t>Y</t>
        </is>
      </c>
      <c r="M11" s="9">
        <f>IF(D11="","",INT(D11-TODAY()))</f>
        <v/>
      </c>
      <c r="N11" s="9">
        <f>IF(F11="","",INT(F11-TODAY()))</f>
        <v/>
      </c>
      <c r="O11" s="20">
        <f>MIN(IF(D11&lt;&gt;"",D11,DATE(9999,12,31)),IF(F11&lt;&gt;"",F11,DATE(9999,12,31)),IF(H11&lt;&gt;"",H11,DATE(9999,12,31)),IF(J11&lt;&gt;"",J11,DATE(9999,12,31)))</f>
        <v/>
      </c>
      <c r="P11" s="9">
        <f>INT(O11-TODAY())</f>
        <v/>
      </c>
      <c r="Q11" s="21">
        <f>IF(P11&lt;0,"Expired",IF(P11&lt;=30,"Expiring",IF(OR(C11&lt;1000000,E11&lt;500000,G11&lt;1000000,K11="N"),"Non-Compliant","Compliant")))</f>
        <v/>
      </c>
      <c r="R11" s="8" t="n"/>
    </row>
    <row r="12">
      <c r="A12" s="10" t="inlineStr">
        <is>
          <t>Summit Roofing &amp; Waterproofing</t>
        </is>
      </c>
      <c r="B12" s="10" t="inlineStr">
        <is>
          <t>Roofing</t>
        </is>
      </c>
      <c r="C12" s="22" t="n">
        <v>2000000</v>
      </c>
      <c r="D12" s="23" t="n">
        <v>46356</v>
      </c>
      <c r="E12" s="22" t="n">
        <v>1000000</v>
      </c>
      <c r="F12" s="23" t="n">
        <v>46356</v>
      </c>
      <c r="G12" s="22" t="n">
        <v>1000000</v>
      </c>
      <c r="H12" s="23" t="n">
        <v>46356</v>
      </c>
      <c r="I12" s="22" t="n">
        <v>5000000</v>
      </c>
      <c r="J12" s="23" t="n">
        <v>46356</v>
      </c>
      <c r="K12" s="24" t="inlineStr">
        <is>
          <t>Y</t>
        </is>
      </c>
      <c r="L12" s="24" t="inlineStr">
        <is>
          <t>Y</t>
        </is>
      </c>
      <c r="M12" s="11">
        <f>IF(D12="","",INT(D12-TODAY()))</f>
        <v/>
      </c>
      <c r="N12" s="11">
        <f>IF(F12="","",INT(F12-TODAY()))</f>
        <v/>
      </c>
      <c r="O12" s="25">
        <f>MIN(IF(D12&lt;&gt;"",D12,DATE(9999,12,31)),IF(F12&lt;&gt;"",F12,DATE(9999,12,31)),IF(H12&lt;&gt;"",H12,DATE(9999,12,31)),IF(J12&lt;&gt;"",J12,DATE(9999,12,31)))</f>
        <v/>
      </c>
      <c r="P12" s="11">
        <f>INT(O12-TODAY())</f>
        <v/>
      </c>
      <c r="Q12" s="26">
        <f>IF(P12&lt;0,"Expired",IF(P12&lt;=30,"Expiring",IF(OR(C12&lt;1000000,E12&lt;500000,G12&lt;1000000,K12="N"),"Non-Compliant","Compliant")))</f>
        <v/>
      </c>
      <c r="R12" s="10" t="n"/>
    </row>
    <row r="13">
      <c r="A13" s="8" t="inlineStr">
        <is>
          <t>Delta Fire Protection</t>
        </is>
      </c>
      <c r="B13" s="8" t="inlineStr">
        <is>
          <t>Fire Protection</t>
        </is>
      </c>
      <c r="C13" s="17" t="n">
        <v>1000000</v>
      </c>
      <c r="D13" s="18" t="n">
        <v>46157</v>
      </c>
      <c r="E13" s="17" t="n">
        <v>500000</v>
      </c>
      <c r="F13" s="18" t="n">
        <v>46157</v>
      </c>
      <c r="G13" s="17" t="n">
        <v>500000</v>
      </c>
      <c r="H13" s="18" t="n">
        <v>46157</v>
      </c>
      <c r="I13" s="17" t="n">
        <v>0</v>
      </c>
      <c r="J13" s="18" t="n"/>
      <c r="K13" s="19" t="inlineStr">
        <is>
          <t>Y</t>
        </is>
      </c>
      <c r="L13" s="19" t="inlineStr">
        <is>
          <t>Y</t>
        </is>
      </c>
      <c r="M13" s="9">
        <f>IF(D13="","",INT(D13-TODAY()))</f>
        <v/>
      </c>
      <c r="N13" s="9">
        <f>IF(F13="","",INT(F13-TODAY()))</f>
        <v/>
      </c>
      <c r="O13" s="20">
        <f>MIN(IF(D13&lt;&gt;"",D13,DATE(9999,12,31)),IF(F13&lt;&gt;"",F13,DATE(9999,12,31)),IF(H13&lt;&gt;"",H13,DATE(9999,12,31)),IF(J13&lt;&gt;"",J13,DATE(9999,12,31)))</f>
        <v/>
      </c>
      <c r="P13" s="9">
        <f>INT(O13-TODAY())</f>
        <v/>
      </c>
      <c r="Q13" s="21">
        <f>IF(P13&lt;0,"Expired",IF(P13&lt;=30,"Expiring",IF(OR(C13&lt;1000000,E13&lt;500000,G13&lt;1000000,K13="N"),"Non-Compliant","Compliant")))</f>
        <v/>
      </c>
      <c r="R13" s="8" t="inlineStr">
        <is>
          <t>Auto limit below requirement</t>
        </is>
      </c>
    </row>
    <row r="14">
      <c r="A14" s="10" t="inlineStr">
        <is>
          <t>Lakeside Drywall &amp; Finishing</t>
        </is>
      </c>
      <c r="B14" s="10" t="inlineStr">
        <is>
          <t>Drywall</t>
        </is>
      </c>
      <c r="C14" s="22" t="n">
        <v>500000</v>
      </c>
      <c r="D14" s="23" t="n">
        <v>46235</v>
      </c>
      <c r="E14" s="22" t="n">
        <v>500000</v>
      </c>
      <c r="F14" s="23" t="n">
        <v>46235</v>
      </c>
      <c r="G14" s="22" t="n">
        <v>1000000</v>
      </c>
      <c r="H14" s="23" t="n">
        <v>46235</v>
      </c>
      <c r="I14" s="22" t="n">
        <v>0</v>
      </c>
      <c r="J14" s="23" t="n"/>
      <c r="K14" s="24" t="inlineStr">
        <is>
          <t>N</t>
        </is>
      </c>
      <c r="L14" s="24" t="inlineStr">
        <is>
          <t>N</t>
        </is>
      </c>
      <c r="M14" s="11">
        <f>IF(D14="","",INT(D14-TODAY()))</f>
        <v/>
      </c>
      <c r="N14" s="11">
        <f>IF(F14="","",INT(F14-TODAY()))</f>
        <v/>
      </c>
      <c r="O14" s="25">
        <f>MIN(IF(D14&lt;&gt;"",D14,DATE(9999,12,31)),IF(F14&lt;&gt;"",F14,DATE(9999,12,31)),IF(H14&lt;&gt;"",H14,DATE(9999,12,31)),IF(J14&lt;&gt;"",J14,DATE(9999,12,31)))</f>
        <v/>
      </c>
      <c r="P14" s="11">
        <f>INT(O14-TODAY())</f>
        <v/>
      </c>
      <c r="Q14" s="26">
        <f>IF(P14&lt;0,"Expired",IF(P14&lt;=30,"Expiring",IF(OR(C14&lt;1000000,E14&lt;500000,G14&lt;1000000,K14="N"),"Non-Compliant","Compliant")))</f>
        <v/>
      </c>
      <c r="R14" s="10" t="inlineStr">
        <is>
          <t>GL below minimum -- needs $1M. Not listed as additional insured.</t>
        </is>
      </c>
    </row>
    <row r="15">
      <c r="A15" s="8" t="inlineStr">
        <is>
          <t>Northstar Mechanical</t>
        </is>
      </c>
      <c r="B15" s="8" t="inlineStr">
        <is>
          <t>Plumbing</t>
        </is>
      </c>
      <c r="C15" s="17" t="n">
        <v>1000000</v>
      </c>
      <c r="D15" s="18" t="n">
        <v>46203</v>
      </c>
      <c r="E15" s="17" t="n">
        <v>1000000</v>
      </c>
      <c r="F15" s="18" t="n">
        <v>46203</v>
      </c>
      <c r="G15" s="17" t="n">
        <v>1000000</v>
      </c>
      <c r="H15" s="18" t="n">
        <v>46203</v>
      </c>
      <c r="I15" s="17" t="n">
        <v>3000000</v>
      </c>
      <c r="J15" s="18" t="n">
        <v>46203</v>
      </c>
      <c r="K15" s="19" t="inlineStr">
        <is>
          <t>Y</t>
        </is>
      </c>
      <c r="L15" s="19" t="inlineStr">
        <is>
          <t>Y</t>
        </is>
      </c>
      <c r="M15" s="9">
        <f>IF(D15="","",INT(D15-TODAY()))</f>
        <v/>
      </c>
      <c r="N15" s="9">
        <f>IF(F15="","",INT(F15-TODAY()))</f>
        <v/>
      </c>
      <c r="O15" s="20">
        <f>MIN(IF(D15&lt;&gt;"",D15,DATE(9999,12,31)),IF(F15&lt;&gt;"",F15,DATE(9999,12,31)),IF(H15&lt;&gt;"",H15,DATE(9999,12,31)),IF(J15&lt;&gt;"",J15,DATE(9999,12,31)))</f>
        <v/>
      </c>
      <c r="P15" s="9">
        <f>INT(O15-TODAY())</f>
        <v/>
      </c>
      <c r="Q15" s="21">
        <f>IF(P15&lt;0,"Expired",IF(P15&lt;=30,"Expiring",IF(OR(C15&lt;1000000,E15&lt;500000,G15&lt;1000000,K15="N"),"Non-Compliant","Compliant")))</f>
        <v/>
      </c>
      <c r="R15" s="8" t="n"/>
    </row>
    <row r="16">
      <c r="A16" s="10" t="inlineStr">
        <is>
          <t>Heritage Masonry Co</t>
        </is>
      </c>
      <c r="B16" s="10" t="inlineStr">
        <is>
          <t>Concrete</t>
        </is>
      </c>
      <c r="C16" s="22" t="n">
        <v>1000000</v>
      </c>
      <c r="D16" s="23" t="n">
        <v>46096</v>
      </c>
      <c r="E16" s="22" t="n">
        <v>500000</v>
      </c>
      <c r="F16" s="23" t="n">
        <v>46096</v>
      </c>
      <c r="G16" s="22" t="n">
        <v>1000000</v>
      </c>
      <c r="H16" s="23" t="n">
        <v>46096</v>
      </c>
      <c r="I16" s="22" t="n">
        <v>2000000</v>
      </c>
      <c r="J16" s="23" t="n">
        <v>46096</v>
      </c>
      <c r="K16" s="24" t="inlineStr">
        <is>
          <t>Y</t>
        </is>
      </c>
      <c r="L16" s="24" t="inlineStr">
        <is>
          <t>Y</t>
        </is>
      </c>
      <c r="M16" s="11">
        <f>IF(D16="","",INT(D16-TODAY()))</f>
        <v/>
      </c>
      <c r="N16" s="11">
        <f>IF(F16="","",INT(F16-TODAY()))</f>
        <v/>
      </c>
      <c r="O16" s="25">
        <f>MIN(IF(D16&lt;&gt;"",D16,DATE(9999,12,31)),IF(F16&lt;&gt;"",F16,DATE(9999,12,31)),IF(H16&lt;&gt;"",H16,DATE(9999,12,31)),IF(J16&lt;&gt;"",J16,DATE(9999,12,31)))</f>
        <v/>
      </c>
      <c r="P16" s="11">
        <f>INT(O16-TODAY())</f>
        <v/>
      </c>
      <c r="Q16" s="26">
        <f>IF(P16&lt;0,"Expired",IF(P16&lt;=30,"Expiring",IF(OR(C16&lt;1000000,E16&lt;500000,G16&lt;1000000,K16="N"),"Non-Compliant","Compliant")))</f>
        <v/>
      </c>
      <c r="R16" s="10" t="inlineStr">
        <is>
          <t>EXPIRED -- no response to renewal request</t>
        </is>
      </c>
    </row>
    <row r="17">
      <c r="A17" s="8" t="inlineStr">
        <is>
          <t>ProTech Electrical Services</t>
        </is>
      </c>
      <c r="B17" s="8" t="inlineStr">
        <is>
          <t>Electrical</t>
        </is>
      </c>
      <c r="C17" s="17" t="n">
        <v>2000000</v>
      </c>
      <c r="D17" s="18" t="n">
        <v>46326</v>
      </c>
      <c r="E17" s="17" t="n">
        <v>1000000</v>
      </c>
      <c r="F17" s="18" t="n">
        <v>46326</v>
      </c>
      <c r="G17" s="17" t="n">
        <v>1000000</v>
      </c>
      <c r="H17" s="18" t="n">
        <v>46326</v>
      </c>
      <c r="I17" s="17" t="n">
        <v>5000000</v>
      </c>
      <c r="J17" s="18" t="n">
        <v>46326</v>
      </c>
      <c r="K17" s="19" t="inlineStr">
        <is>
          <t>Y</t>
        </is>
      </c>
      <c r="L17" s="19" t="inlineStr">
        <is>
          <t>Y</t>
        </is>
      </c>
      <c r="M17" s="9">
        <f>IF(D17="","",INT(D17-TODAY()))</f>
        <v/>
      </c>
      <c r="N17" s="9">
        <f>IF(F17="","",INT(F17-TODAY()))</f>
        <v/>
      </c>
      <c r="O17" s="20">
        <f>MIN(IF(D17&lt;&gt;"",D17,DATE(9999,12,31)),IF(F17&lt;&gt;"",F17,DATE(9999,12,31)),IF(H17&lt;&gt;"",H17,DATE(9999,12,31)),IF(J17&lt;&gt;"",J17,DATE(9999,12,31)))</f>
        <v/>
      </c>
      <c r="P17" s="9">
        <f>INT(O17-TODAY())</f>
        <v/>
      </c>
      <c r="Q17" s="21">
        <f>IF(P17&lt;0,"Expired",IF(P17&lt;=30,"Expiring",IF(OR(C17&lt;1000000,E17&lt;500000,G17&lt;1000000,K17="N"),"Non-Compliant","Compliant")))</f>
        <v/>
      </c>
      <c r="R17" s="8" t="n"/>
    </row>
    <row r="18">
      <c r="A18" s="10" t="inlineStr">
        <is>
          <t>Apex Excavation &amp; Grading</t>
        </is>
      </c>
      <c r="B18" s="10" t="inlineStr">
        <is>
          <t>Excavation</t>
        </is>
      </c>
      <c r="C18" s="22" t="n">
        <v>2000000</v>
      </c>
      <c r="D18" s="23" t="n">
        <v>46137</v>
      </c>
      <c r="E18" s="22" t="n">
        <v>1000000</v>
      </c>
      <c r="F18" s="23" t="n">
        <v>46137</v>
      </c>
      <c r="G18" s="22" t="n">
        <v>1000000</v>
      </c>
      <c r="H18" s="23" t="n">
        <v>46137</v>
      </c>
      <c r="I18" s="22" t="n">
        <v>3000000</v>
      </c>
      <c r="J18" s="23" t="n">
        <v>46137</v>
      </c>
      <c r="K18" s="24" t="inlineStr">
        <is>
          <t>Y</t>
        </is>
      </c>
      <c r="L18" s="24" t="inlineStr">
        <is>
          <t>Y</t>
        </is>
      </c>
      <c r="M18" s="11">
        <f>IF(D18="","",INT(D18-TODAY()))</f>
        <v/>
      </c>
      <c r="N18" s="11">
        <f>IF(F18="","",INT(F18-TODAY()))</f>
        <v/>
      </c>
      <c r="O18" s="25">
        <f>MIN(IF(D18&lt;&gt;"",D18,DATE(9999,12,31)),IF(F18&lt;&gt;"",F18,DATE(9999,12,31)),IF(H18&lt;&gt;"",H18,DATE(9999,12,31)),IF(J18&lt;&gt;"",J18,DATE(9999,12,31)))</f>
        <v/>
      </c>
      <c r="P18" s="11">
        <f>INT(O18-TODAY())</f>
        <v/>
      </c>
      <c r="Q18" s="26">
        <f>IF(P18&lt;0,"Expired",IF(P18&lt;=30,"Expiring",IF(OR(C18&lt;1000000,E18&lt;500000,G18&lt;1000000,K18="N"),"Non-Compliant","Compliant")))</f>
        <v/>
      </c>
      <c r="R18" s="10" t="inlineStr">
        <is>
          <t>Renewal in progress</t>
        </is>
      </c>
    </row>
    <row r="19">
      <c r="A19" s="12" t="inlineStr">
        <is>
          <t>TOTAL: 12 Subcontractors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</row>
  </sheetData>
  <autoFilter ref="A6:R18"/>
  <mergeCells count="4">
    <mergeCell ref="A4:H4"/>
    <mergeCell ref="A3:H3"/>
    <mergeCell ref="A2:H2"/>
    <mergeCell ref="A1:H1"/>
  </mergeCells>
  <conditionalFormatting sqref="Q7:Q18">
    <cfRule type="cellIs" priority="1" operator="equal" dxfId="2">
      <formula>"Expired"</formula>
    </cfRule>
    <cfRule type="cellIs" priority="2" operator="equal" dxfId="3">
      <formula>"Expiring"</formula>
    </cfRule>
    <cfRule type="cellIs" priority="3" operator="equal" dxfId="2">
      <formula>"Non-Compliant"</formula>
    </cfRule>
    <cfRule type="cellIs" priority="4" operator="equal" dxfId="4">
      <formula>"Compliant"</formula>
    </cfRule>
  </conditionalFormatting>
  <conditionalFormatting sqref="M7:M18">
    <cfRule type="cellIs" priority="5" operator="lessThan" dxfId="5">
      <formula>0</formula>
    </cfRule>
    <cfRule type="cellIs" priority="6" operator="between" dxfId="6">
      <formula>0</formula>
      <formula>30</formula>
    </cfRule>
    <cfRule type="cellIs" priority="7" operator="greaterThan" dxfId="7">
      <formula>90</formula>
    </cfRule>
  </conditionalFormatting>
  <conditionalFormatting sqref="N7:N18">
    <cfRule type="cellIs" priority="8" operator="lessThan" dxfId="5">
      <formula>0</formula>
    </cfRule>
    <cfRule type="cellIs" priority="9" operator="between" dxfId="6">
      <formula>0</formula>
      <formula>30</formula>
    </cfRule>
    <cfRule type="cellIs" priority="10" operator="greaterThan" dxfId="7">
      <formula>90</formula>
    </cfRule>
  </conditionalFormatting>
  <conditionalFormatting sqref="P7:P18">
    <cfRule type="cellIs" priority="11" operator="lessThan" dxfId="5">
      <formula>0</formula>
    </cfRule>
    <cfRule type="cellIs" priority="12" operator="between" dxfId="6">
      <formula>0</formula>
      <formula>30</formula>
    </cfRule>
    <cfRule type="cellIs" priority="13" operator="greaterThan" dxfId="7">
      <formula>90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J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8" customWidth="1" min="10" max="10"/>
  </cols>
  <sheetData>
    <row r="1">
      <c r="A1" s="1" t="inlineStr">
        <is>
          <t>Expiring Soon -- Action Required</t>
        </is>
      </c>
    </row>
    <row r="2">
      <c r="A2" s="2" t="inlineStr">
        <is>
          <t>As of March 31, 2026</t>
        </is>
      </c>
    </row>
    <row r="3" ht="6" customHeight="1"/>
    <row r="4">
      <c r="A4" s="3" t="inlineStr">
        <is>
          <t>EXPIRATION WINDOWS</t>
        </is>
      </c>
    </row>
    <row r="5">
      <c r="A5" s="4" t="inlineStr">
        <is>
          <t>Already Expired</t>
        </is>
      </c>
      <c r="B5" s="4" t="inlineStr">
        <is>
          <t>Within 30 Days</t>
        </is>
      </c>
      <c r="C5" s="4" t="inlineStr">
        <is>
          <t>Within 60 Days</t>
        </is>
      </c>
      <c r="D5" s="4" t="inlineStr">
        <is>
          <t>Within 90 Days</t>
        </is>
      </c>
    </row>
    <row r="6">
      <c r="A6" s="5">
        <f>COUNTIF('All Subcontractors'!P7:P18,"&lt;0")</f>
        <v/>
      </c>
      <c r="B6" s="5">
        <f>COUNTIFS('All Subcontractors'!P7:P18,"&gt;="&amp;0,'All Subcontractors'!P7:P18,"&lt;="&amp;30)</f>
        <v/>
      </c>
      <c r="C6" s="5">
        <f>COUNTIFS('All Subcontractors'!P7:P18,"&gt;="&amp;0,'All Subcontractors'!P7:P18,"&lt;="&amp;60)</f>
        <v/>
      </c>
      <c r="D6" s="5">
        <f>COUNTIFS('All Subcontractors'!P7:P18,"&gt;="&amp;0,'All Subcontractors'!P7:P18,"&lt;="&amp;90)</f>
        <v/>
      </c>
    </row>
    <row r="7" ht="6" customHeight="1"/>
    <row r="8">
      <c r="A8" s="3" t="inlineStr">
        <is>
          <t>SUBCONTRACTORS EXPIRING WITHIN 90 DAYS</t>
        </is>
      </c>
    </row>
    <row r="9" ht="32" customHeight="1">
      <c r="A9" s="15" t="inlineStr">
        <is>
          <t>Subcontractor</t>
        </is>
      </c>
      <c r="B9" s="15" t="inlineStr">
        <is>
          <t>Trade</t>
        </is>
      </c>
      <c r="C9" s="7" t="inlineStr">
        <is>
          <t>Earliest
Expiration</t>
        </is>
      </c>
      <c r="D9" s="7" t="inlineStr">
        <is>
          <t>Days
Remaining</t>
        </is>
      </c>
      <c r="E9" s="7" t="inlineStr">
        <is>
          <t>GL Exp</t>
        </is>
      </c>
      <c r="F9" s="7" t="inlineStr">
        <is>
          <t>WC Exp</t>
        </is>
      </c>
      <c r="G9" s="7" t="inlineStr">
        <is>
          <t>Auto Exp</t>
        </is>
      </c>
      <c r="H9" s="7" t="inlineStr">
        <is>
          <t>Umbrella Exp</t>
        </is>
      </c>
      <c r="I9" s="7" t="inlineStr">
        <is>
          <t>Status</t>
        </is>
      </c>
      <c r="J9" s="7" t="inlineStr">
        <is>
          <t>Notes</t>
        </is>
      </c>
    </row>
    <row r="10">
      <c r="A10" s="28">
        <f>IFERROR(IF(SMALL('All Subcontractors'!P7:P18,1)&gt;90,"",INDEX('All Subcontractors'!A7:A18,MATCH(SMALL('All Subcontractors'!P7:P18,1),'All Subcontractors'!P7:P18,0))),"")</f>
        <v/>
      </c>
      <c r="B10" s="28">
        <f>IFERROR(IF(SMALL('All Subcontractors'!P7:P18,1)&gt;90,"",INDEX('All Subcontractors'!B7:B18,MATCH(SMALL('All Subcontractors'!P7:P18,1),'All Subcontractors'!P7:P18,0))),"")</f>
        <v/>
      </c>
      <c r="C10" s="20">
        <f>IFERROR(IF(SMALL('All Subcontractors'!P7:P18,1)&gt;90,"",INDEX('All Subcontractors'!O7:O18,MATCH(SMALL('All Subcontractors'!P7:P18,1),'All Subcontractors'!P7:P18,0))),"")</f>
        <v/>
      </c>
      <c r="D10" s="9">
        <f>IFERROR(IF(SMALL('All Subcontractors'!P7:P18,1)&gt;90,"",SMALL('All Subcontractors'!P7:P18,1)),"")</f>
        <v/>
      </c>
      <c r="E10" s="20">
        <f>IFERROR(IF(SMALL('All Subcontractors'!P7:P18,1)&gt;90,"",INDEX('All Subcontractors'!D7:D18,MATCH(SMALL('All Subcontractors'!P7:P18,1),'All Subcontractors'!P7:P18,0))),"")</f>
        <v/>
      </c>
      <c r="F10" s="20">
        <f>IFERROR(IF(SMALL('All Subcontractors'!P7:P18,1)&gt;90,"",INDEX('All Subcontractors'!F7:F18,MATCH(SMALL('All Subcontractors'!P7:P18,1),'All Subcontractors'!P7:P18,0))),"")</f>
        <v/>
      </c>
      <c r="G10" s="20">
        <f>IFERROR(IF(SMALL('All Subcontractors'!P7:P18,1)&gt;90,"",INDEX('All Subcontractors'!H7:H18,MATCH(SMALL('All Subcontractors'!P7:P18,1),'All Subcontractors'!P7:P18,0))),"")</f>
        <v/>
      </c>
      <c r="H10" s="20">
        <f>IFERROR(IF(SMALL('All Subcontractors'!P7:P18,1)&gt;90,"",INDEX('All Subcontractors'!J7:J18,MATCH(SMALL('All Subcontractors'!P7:P18,1),'All Subcontractors'!P7:P18,0))),"")</f>
        <v/>
      </c>
      <c r="I10" s="21">
        <f>IFERROR(IF(SMALL('All Subcontractors'!P7:P18,1)&gt;90,"",INDEX('All Subcontractors'!Q7:Q18,MATCH(SMALL('All Subcontractors'!P7:P18,1),'All Subcontractors'!P7:P18,0))),"")</f>
        <v/>
      </c>
      <c r="J10" s="28">
        <f>IFERROR(IF(SMALL('All Subcontractors'!P7:P18,1)&gt;90,"",INDEX('All Subcontractors'!R7:R18,MATCH(SMALL('All Subcontractors'!P7:P18,1),'All Subcontractors'!P7:P18,0))),"")</f>
        <v/>
      </c>
    </row>
    <row r="11">
      <c r="A11" s="29">
        <f>IFERROR(IF(SMALL('All Subcontractors'!P7:P18,2)&gt;90,"",INDEX('All Subcontractors'!A7:A18,MATCH(SMALL('All Subcontractors'!P7:P18,2),'All Subcontractors'!P7:P18,0))),"")</f>
        <v/>
      </c>
      <c r="B11" s="29">
        <f>IFERROR(IF(SMALL('All Subcontractors'!P7:P18,2)&gt;90,"",INDEX('All Subcontractors'!B7:B18,MATCH(SMALL('All Subcontractors'!P7:P18,2),'All Subcontractors'!P7:P18,0))),"")</f>
        <v/>
      </c>
      <c r="C11" s="25">
        <f>IFERROR(IF(SMALL('All Subcontractors'!P7:P18,2)&gt;90,"",INDEX('All Subcontractors'!O7:O18,MATCH(SMALL('All Subcontractors'!P7:P18,2),'All Subcontractors'!P7:P18,0))),"")</f>
        <v/>
      </c>
      <c r="D11" s="11">
        <f>IFERROR(IF(SMALL('All Subcontractors'!P7:P18,2)&gt;90,"",SMALL('All Subcontractors'!P7:P18,2)),"")</f>
        <v/>
      </c>
      <c r="E11" s="25">
        <f>IFERROR(IF(SMALL('All Subcontractors'!P7:P18,2)&gt;90,"",INDEX('All Subcontractors'!D7:D18,MATCH(SMALL('All Subcontractors'!P7:P18,2),'All Subcontractors'!P7:P18,0))),"")</f>
        <v/>
      </c>
      <c r="F11" s="25">
        <f>IFERROR(IF(SMALL('All Subcontractors'!P7:P18,2)&gt;90,"",INDEX('All Subcontractors'!F7:F18,MATCH(SMALL('All Subcontractors'!P7:P18,2),'All Subcontractors'!P7:P18,0))),"")</f>
        <v/>
      </c>
      <c r="G11" s="25">
        <f>IFERROR(IF(SMALL('All Subcontractors'!P7:P18,2)&gt;90,"",INDEX('All Subcontractors'!H7:H18,MATCH(SMALL('All Subcontractors'!P7:P18,2),'All Subcontractors'!P7:P18,0))),"")</f>
        <v/>
      </c>
      <c r="H11" s="25">
        <f>IFERROR(IF(SMALL('All Subcontractors'!P7:P18,2)&gt;90,"",INDEX('All Subcontractors'!J7:J18,MATCH(SMALL('All Subcontractors'!P7:P18,2),'All Subcontractors'!P7:P18,0))),"")</f>
        <v/>
      </c>
      <c r="I11" s="26">
        <f>IFERROR(IF(SMALL('All Subcontractors'!P7:P18,2)&gt;90,"",INDEX('All Subcontractors'!Q7:Q18,MATCH(SMALL('All Subcontractors'!P7:P18,2),'All Subcontractors'!P7:P18,0))),"")</f>
        <v/>
      </c>
      <c r="J11" s="29">
        <f>IFERROR(IF(SMALL('All Subcontractors'!P7:P18,2)&gt;90,"",INDEX('All Subcontractors'!R7:R18,MATCH(SMALL('All Subcontractors'!P7:P18,2),'All Subcontractors'!P7:P18,0))),"")</f>
        <v/>
      </c>
    </row>
    <row r="12">
      <c r="A12" s="28">
        <f>IFERROR(IF(SMALL('All Subcontractors'!P7:P18,3)&gt;90,"",INDEX('All Subcontractors'!A7:A18,MATCH(SMALL('All Subcontractors'!P7:P18,3),'All Subcontractors'!P7:P18,0))),"")</f>
        <v/>
      </c>
      <c r="B12" s="28">
        <f>IFERROR(IF(SMALL('All Subcontractors'!P7:P18,3)&gt;90,"",INDEX('All Subcontractors'!B7:B18,MATCH(SMALL('All Subcontractors'!P7:P18,3),'All Subcontractors'!P7:P18,0))),"")</f>
        <v/>
      </c>
      <c r="C12" s="20">
        <f>IFERROR(IF(SMALL('All Subcontractors'!P7:P18,3)&gt;90,"",INDEX('All Subcontractors'!O7:O18,MATCH(SMALL('All Subcontractors'!P7:P18,3),'All Subcontractors'!P7:P18,0))),"")</f>
        <v/>
      </c>
      <c r="D12" s="9">
        <f>IFERROR(IF(SMALL('All Subcontractors'!P7:P18,3)&gt;90,"",SMALL('All Subcontractors'!P7:P18,3)),"")</f>
        <v/>
      </c>
      <c r="E12" s="20">
        <f>IFERROR(IF(SMALL('All Subcontractors'!P7:P18,3)&gt;90,"",INDEX('All Subcontractors'!D7:D18,MATCH(SMALL('All Subcontractors'!P7:P18,3),'All Subcontractors'!P7:P18,0))),"")</f>
        <v/>
      </c>
      <c r="F12" s="20">
        <f>IFERROR(IF(SMALL('All Subcontractors'!P7:P18,3)&gt;90,"",INDEX('All Subcontractors'!F7:F18,MATCH(SMALL('All Subcontractors'!P7:P18,3),'All Subcontractors'!P7:P18,0))),"")</f>
        <v/>
      </c>
      <c r="G12" s="20">
        <f>IFERROR(IF(SMALL('All Subcontractors'!P7:P18,3)&gt;90,"",INDEX('All Subcontractors'!H7:H18,MATCH(SMALL('All Subcontractors'!P7:P18,3),'All Subcontractors'!P7:P18,0))),"")</f>
        <v/>
      </c>
      <c r="H12" s="20">
        <f>IFERROR(IF(SMALL('All Subcontractors'!P7:P18,3)&gt;90,"",INDEX('All Subcontractors'!J7:J18,MATCH(SMALL('All Subcontractors'!P7:P18,3),'All Subcontractors'!P7:P18,0))),"")</f>
        <v/>
      </c>
      <c r="I12" s="21">
        <f>IFERROR(IF(SMALL('All Subcontractors'!P7:P18,3)&gt;90,"",INDEX('All Subcontractors'!Q7:Q18,MATCH(SMALL('All Subcontractors'!P7:P18,3),'All Subcontractors'!P7:P18,0))),"")</f>
        <v/>
      </c>
      <c r="J12" s="28">
        <f>IFERROR(IF(SMALL('All Subcontractors'!P7:P18,3)&gt;90,"",INDEX('All Subcontractors'!R7:R18,MATCH(SMALL('All Subcontractors'!P7:P18,3),'All Subcontractors'!P7:P18,0))),"")</f>
        <v/>
      </c>
    </row>
    <row r="13">
      <c r="A13" s="29">
        <f>IFERROR(IF(SMALL('All Subcontractors'!P7:P18,4)&gt;90,"",INDEX('All Subcontractors'!A7:A18,MATCH(SMALL('All Subcontractors'!P7:P18,4),'All Subcontractors'!P7:P18,0))),"")</f>
        <v/>
      </c>
      <c r="B13" s="29">
        <f>IFERROR(IF(SMALL('All Subcontractors'!P7:P18,4)&gt;90,"",INDEX('All Subcontractors'!B7:B18,MATCH(SMALL('All Subcontractors'!P7:P18,4),'All Subcontractors'!P7:P18,0))),"")</f>
        <v/>
      </c>
      <c r="C13" s="25">
        <f>IFERROR(IF(SMALL('All Subcontractors'!P7:P18,4)&gt;90,"",INDEX('All Subcontractors'!O7:O18,MATCH(SMALL('All Subcontractors'!P7:P18,4),'All Subcontractors'!P7:P18,0))),"")</f>
        <v/>
      </c>
      <c r="D13" s="11">
        <f>IFERROR(IF(SMALL('All Subcontractors'!P7:P18,4)&gt;90,"",SMALL('All Subcontractors'!P7:P18,4)),"")</f>
        <v/>
      </c>
      <c r="E13" s="25">
        <f>IFERROR(IF(SMALL('All Subcontractors'!P7:P18,4)&gt;90,"",INDEX('All Subcontractors'!D7:D18,MATCH(SMALL('All Subcontractors'!P7:P18,4),'All Subcontractors'!P7:P18,0))),"")</f>
        <v/>
      </c>
      <c r="F13" s="25">
        <f>IFERROR(IF(SMALL('All Subcontractors'!P7:P18,4)&gt;90,"",INDEX('All Subcontractors'!F7:F18,MATCH(SMALL('All Subcontractors'!P7:P18,4),'All Subcontractors'!P7:P18,0))),"")</f>
        <v/>
      </c>
      <c r="G13" s="25">
        <f>IFERROR(IF(SMALL('All Subcontractors'!P7:P18,4)&gt;90,"",INDEX('All Subcontractors'!H7:H18,MATCH(SMALL('All Subcontractors'!P7:P18,4),'All Subcontractors'!P7:P18,0))),"")</f>
        <v/>
      </c>
      <c r="H13" s="25">
        <f>IFERROR(IF(SMALL('All Subcontractors'!P7:P18,4)&gt;90,"",INDEX('All Subcontractors'!J7:J18,MATCH(SMALL('All Subcontractors'!P7:P18,4),'All Subcontractors'!P7:P18,0))),"")</f>
        <v/>
      </c>
      <c r="I13" s="26">
        <f>IFERROR(IF(SMALL('All Subcontractors'!P7:P18,4)&gt;90,"",INDEX('All Subcontractors'!Q7:Q18,MATCH(SMALL('All Subcontractors'!P7:P18,4),'All Subcontractors'!P7:P18,0))),"")</f>
        <v/>
      </c>
      <c r="J13" s="29">
        <f>IFERROR(IF(SMALL('All Subcontractors'!P7:P18,4)&gt;90,"",INDEX('All Subcontractors'!R7:R18,MATCH(SMALL('All Subcontractors'!P7:P18,4),'All Subcontractors'!P7:P18,0))),"")</f>
        <v/>
      </c>
    </row>
    <row r="14">
      <c r="A14" s="28">
        <f>IFERROR(IF(SMALL('All Subcontractors'!P7:P18,5)&gt;90,"",INDEX('All Subcontractors'!A7:A18,MATCH(SMALL('All Subcontractors'!P7:P18,5),'All Subcontractors'!P7:P18,0))),"")</f>
        <v/>
      </c>
      <c r="B14" s="28">
        <f>IFERROR(IF(SMALL('All Subcontractors'!P7:P18,5)&gt;90,"",INDEX('All Subcontractors'!B7:B18,MATCH(SMALL('All Subcontractors'!P7:P18,5),'All Subcontractors'!P7:P18,0))),"")</f>
        <v/>
      </c>
      <c r="C14" s="20">
        <f>IFERROR(IF(SMALL('All Subcontractors'!P7:P18,5)&gt;90,"",INDEX('All Subcontractors'!O7:O18,MATCH(SMALL('All Subcontractors'!P7:P18,5),'All Subcontractors'!P7:P18,0))),"")</f>
        <v/>
      </c>
      <c r="D14" s="9">
        <f>IFERROR(IF(SMALL('All Subcontractors'!P7:P18,5)&gt;90,"",SMALL('All Subcontractors'!P7:P18,5)),"")</f>
        <v/>
      </c>
      <c r="E14" s="20">
        <f>IFERROR(IF(SMALL('All Subcontractors'!P7:P18,5)&gt;90,"",INDEX('All Subcontractors'!D7:D18,MATCH(SMALL('All Subcontractors'!P7:P18,5),'All Subcontractors'!P7:P18,0))),"")</f>
        <v/>
      </c>
      <c r="F14" s="20">
        <f>IFERROR(IF(SMALL('All Subcontractors'!P7:P18,5)&gt;90,"",INDEX('All Subcontractors'!F7:F18,MATCH(SMALL('All Subcontractors'!P7:P18,5),'All Subcontractors'!P7:P18,0))),"")</f>
        <v/>
      </c>
      <c r="G14" s="20">
        <f>IFERROR(IF(SMALL('All Subcontractors'!P7:P18,5)&gt;90,"",INDEX('All Subcontractors'!H7:H18,MATCH(SMALL('All Subcontractors'!P7:P18,5),'All Subcontractors'!P7:P18,0))),"")</f>
        <v/>
      </c>
      <c r="H14" s="20">
        <f>IFERROR(IF(SMALL('All Subcontractors'!P7:P18,5)&gt;90,"",INDEX('All Subcontractors'!J7:J18,MATCH(SMALL('All Subcontractors'!P7:P18,5),'All Subcontractors'!P7:P18,0))),"")</f>
        <v/>
      </c>
      <c r="I14" s="21">
        <f>IFERROR(IF(SMALL('All Subcontractors'!P7:P18,5)&gt;90,"",INDEX('All Subcontractors'!Q7:Q18,MATCH(SMALL('All Subcontractors'!P7:P18,5),'All Subcontractors'!P7:P18,0))),"")</f>
        <v/>
      </c>
      <c r="J14" s="28">
        <f>IFERROR(IF(SMALL('All Subcontractors'!P7:P18,5)&gt;90,"",INDEX('All Subcontractors'!R7:R18,MATCH(SMALL('All Subcontractors'!P7:P18,5),'All Subcontractors'!P7:P18,0))),"")</f>
        <v/>
      </c>
    </row>
    <row r="15">
      <c r="A15" s="29">
        <f>IFERROR(IF(SMALL('All Subcontractors'!P7:P18,6)&gt;90,"",INDEX('All Subcontractors'!A7:A18,MATCH(SMALL('All Subcontractors'!P7:P18,6),'All Subcontractors'!P7:P18,0))),"")</f>
        <v/>
      </c>
      <c r="B15" s="29">
        <f>IFERROR(IF(SMALL('All Subcontractors'!P7:P18,6)&gt;90,"",INDEX('All Subcontractors'!B7:B18,MATCH(SMALL('All Subcontractors'!P7:P18,6),'All Subcontractors'!P7:P18,0))),"")</f>
        <v/>
      </c>
      <c r="C15" s="25">
        <f>IFERROR(IF(SMALL('All Subcontractors'!P7:P18,6)&gt;90,"",INDEX('All Subcontractors'!O7:O18,MATCH(SMALL('All Subcontractors'!P7:P18,6),'All Subcontractors'!P7:P18,0))),"")</f>
        <v/>
      </c>
      <c r="D15" s="11">
        <f>IFERROR(IF(SMALL('All Subcontractors'!P7:P18,6)&gt;90,"",SMALL('All Subcontractors'!P7:P18,6)),"")</f>
        <v/>
      </c>
      <c r="E15" s="25">
        <f>IFERROR(IF(SMALL('All Subcontractors'!P7:P18,6)&gt;90,"",INDEX('All Subcontractors'!D7:D18,MATCH(SMALL('All Subcontractors'!P7:P18,6),'All Subcontractors'!P7:P18,0))),"")</f>
        <v/>
      </c>
      <c r="F15" s="25">
        <f>IFERROR(IF(SMALL('All Subcontractors'!P7:P18,6)&gt;90,"",INDEX('All Subcontractors'!F7:F18,MATCH(SMALL('All Subcontractors'!P7:P18,6),'All Subcontractors'!P7:P18,0))),"")</f>
        <v/>
      </c>
      <c r="G15" s="25">
        <f>IFERROR(IF(SMALL('All Subcontractors'!P7:P18,6)&gt;90,"",INDEX('All Subcontractors'!H7:H18,MATCH(SMALL('All Subcontractors'!P7:P18,6),'All Subcontractors'!P7:P18,0))),"")</f>
        <v/>
      </c>
      <c r="H15" s="25">
        <f>IFERROR(IF(SMALL('All Subcontractors'!P7:P18,6)&gt;90,"",INDEX('All Subcontractors'!J7:J18,MATCH(SMALL('All Subcontractors'!P7:P18,6),'All Subcontractors'!P7:P18,0))),"")</f>
        <v/>
      </c>
      <c r="I15" s="26">
        <f>IFERROR(IF(SMALL('All Subcontractors'!P7:P18,6)&gt;90,"",INDEX('All Subcontractors'!Q7:Q18,MATCH(SMALL('All Subcontractors'!P7:P18,6),'All Subcontractors'!P7:P18,0))),"")</f>
        <v/>
      </c>
      <c r="J15" s="29">
        <f>IFERROR(IF(SMALL('All Subcontractors'!P7:P18,6)&gt;90,"",INDEX('All Subcontractors'!R7:R18,MATCH(SMALL('All Subcontractors'!P7:P18,6),'All Subcontractors'!P7:P18,0))),"")</f>
        <v/>
      </c>
    </row>
    <row r="16">
      <c r="A16" s="28">
        <f>IFERROR(IF(SMALL('All Subcontractors'!P7:P18,7)&gt;90,"",INDEX('All Subcontractors'!A7:A18,MATCH(SMALL('All Subcontractors'!P7:P18,7),'All Subcontractors'!P7:P18,0))),"")</f>
        <v/>
      </c>
      <c r="B16" s="28">
        <f>IFERROR(IF(SMALL('All Subcontractors'!P7:P18,7)&gt;90,"",INDEX('All Subcontractors'!B7:B18,MATCH(SMALL('All Subcontractors'!P7:P18,7),'All Subcontractors'!P7:P18,0))),"")</f>
        <v/>
      </c>
      <c r="C16" s="20">
        <f>IFERROR(IF(SMALL('All Subcontractors'!P7:P18,7)&gt;90,"",INDEX('All Subcontractors'!O7:O18,MATCH(SMALL('All Subcontractors'!P7:P18,7),'All Subcontractors'!P7:P18,0))),"")</f>
        <v/>
      </c>
      <c r="D16" s="9">
        <f>IFERROR(IF(SMALL('All Subcontractors'!P7:P18,7)&gt;90,"",SMALL('All Subcontractors'!P7:P18,7)),"")</f>
        <v/>
      </c>
      <c r="E16" s="20">
        <f>IFERROR(IF(SMALL('All Subcontractors'!P7:P18,7)&gt;90,"",INDEX('All Subcontractors'!D7:D18,MATCH(SMALL('All Subcontractors'!P7:P18,7),'All Subcontractors'!P7:P18,0))),"")</f>
        <v/>
      </c>
      <c r="F16" s="20">
        <f>IFERROR(IF(SMALL('All Subcontractors'!P7:P18,7)&gt;90,"",INDEX('All Subcontractors'!F7:F18,MATCH(SMALL('All Subcontractors'!P7:P18,7),'All Subcontractors'!P7:P18,0))),"")</f>
        <v/>
      </c>
      <c r="G16" s="20">
        <f>IFERROR(IF(SMALL('All Subcontractors'!P7:P18,7)&gt;90,"",INDEX('All Subcontractors'!H7:H18,MATCH(SMALL('All Subcontractors'!P7:P18,7),'All Subcontractors'!P7:P18,0))),"")</f>
        <v/>
      </c>
      <c r="H16" s="20">
        <f>IFERROR(IF(SMALL('All Subcontractors'!P7:P18,7)&gt;90,"",INDEX('All Subcontractors'!J7:J18,MATCH(SMALL('All Subcontractors'!P7:P18,7),'All Subcontractors'!P7:P18,0))),"")</f>
        <v/>
      </c>
      <c r="I16" s="21">
        <f>IFERROR(IF(SMALL('All Subcontractors'!P7:P18,7)&gt;90,"",INDEX('All Subcontractors'!Q7:Q18,MATCH(SMALL('All Subcontractors'!P7:P18,7),'All Subcontractors'!P7:P18,0))),"")</f>
        <v/>
      </c>
      <c r="J16" s="28">
        <f>IFERROR(IF(SMALL('All Subcontractors'!P7:P18,7)&gt;90,"",INDEX('All Subcontractors'!R7:R18,MATCH(SMALL('All Subcontractors'!P7:P18,7),'All Subcontractors'!P7:P18,0))),"")</f>
        <v/>
      </c>
    </row>
    <row r="17">
      <c r="A17" s="29">
        <f>IFERROR(IF(SMALL('All Subcontractors'!P7:P18,8)&gt;90,"",INDEX('All Subcontractors'!A7:A18,MATCH(SMALL('All Subcontractors'!P7:P18,8),'All Subcontractors'!P7:P18,0))),"")</f>
        <v/>
      </c>
      <c r="B17" s="29">
        <f>IFERROR(IF(SMALL('All Subcontractors'!P7:P18,8)&gt;90,"",INDEX('All Subcontractors'!B7:B18,MATCH(SMALL('All Subcontractors'!P7:P18,8),'All Subcontractors'!P7:P18,0))),"")</f>
        <v/>
      </c>
      <c r="C17" s="25">
        <f>IFERROR(IF(SMALL('All Subcontractors'!P7:P18,8)&gt;90,"",INDEX('All Subcontractors'!O7:O18,MATCH(SMALL('All Subcontractors'!P7:P18,8),'All Subcontractors'!P7:P18,0))),"")</f>
        <v/>
      </c>
      <c r="D17" s="11">
        <f>IFERROR(IF(SMALL('All Subcontractors'!P7:P18,8)&gt;90,"",SMALL('All Subcontractors'!P7:P18,8)),"")</f>
        <v/>
      </c>
      <c r="E17" s="25">
        <f>IFERROR(IF(SMALL('All Subcontractors'!P7:P18,8)&gt;90,"",INDEX('All Subcontractors'!D7:D18,MATCH(SMALL('All Subcontractors'!P7:P18,8),'All Subcontractors'!P7:P18,0))),"")</f>
        <v/>
      </c>
      <c r="F17" s="25">
        <f>IFERROR(IF(SMALL('All Subcontractors'!P7:P18,8)&gt;90,"",INDEX('All Subcontractors'!F7:F18,MATCH(SMALL('All Subcontractors'!P7:P18,8),'All Subcontractors'!P7:P18,0))),"")</f>
        <v/>
      </c>
      <c r="G17" s="25">
        <f>IFERROR(IF(SMALL('All Subcontractors'!P7:P18,8)&gt;90,"",INDEX('All Subcontractors'!H7:H18,MATCH(SMALL('All Subcontractors'!P7:P18,8),'All Subcontractors'!P7:P18,0))),"")</f>
        <v/>
      </c>
      <c r="H17" s="25">
        <f>IFERROR(IF(SMALL('All Subcontractors'!P7:P18,8)&gt;90,"",INDEX('All Subcontractors'!J7:J18,MATCH(SMALL('All Subcontractors'!P7:P18,8),'All Subcontractors'!P7:P18,0))),"")</f>
        <v/>
      </c>
      <c r="I17" s="26">
        <f>IFERROR(IF(SMALL('All Subcontractors'!P7:P18,8)&gt;90,"",INDEX('All Subcontractors'!Q7:Q18,MATCH(SMALL('All Subcontractors'!P7:P18,8),'All Subcontractors'!P7:P18,0))),"")</f>
        <v/>
      </c>
      <c r="J17" s="29">
        <f>IFERROR(IF(SMALL('All Subcontractors'!P7:P18,8)&gt;90,"",INDEX('All Subcontractors'!R7:R18,MATCH(SMALL('All Subcontractors'!P7:P18,8),'All Subcontractors'!P7:P18,0))),"")</f>
        <v/>
      </c>
    </row>
    <row r="18">
      <c r="A18" s="28">
        <f>IFERROR(IF(SMALL('All Subcontractors'!P7:P18,9)&gt;90,"",INDEX('All Subcontractors'!A7:A18,MATCH(SMALL('All Subcontractors'!P7:P18,9),'All Subcontractors'!P7:P18,0))),"")</f>
        <v/>
      </c>
      <c r="B18" s="28">
        <f>IFERROR(IF(SMALL('All Subcontractors'!P7:P18,9)&gt;90,"",INDEX('All Subcontractors'!B7:B18,MATCH(SMALL('All Subcontractors'!P7:P18,9),'All Subcontractors'!P7:P18,0))),"")</f>
        <v/>
      </c>
      <c r="C18" s="20">
        <f>IFERROR(IF(SMALL('All Subcontractors'!P7:P18,9)&gt;90,"",INDEX('All Subcontractors'!O7:O18,MATCH(SMALL('All Subcontractors'!P7:P18,9),'All Subcontractors'!P7:P18,0))),"")</f>
        <v/>
      </c>
      <c r="D18" s="9">
        <f>IFERROR(IF(SMALL('All Subcontractors'!P7:P18,9)&gt;90,"",SMALL('All Subcontractors'!P7:P18,9)),"")</f>
        <v/>
      </c>
      <c r="E18" s="20">
        <f>IFERROR(IF(SMALL('All Subcontractors'!P7:P18,9)&gt;90,"",INDEX('All Subcontractors'!D7:D18,MATCH(SMALL('All Subcontractors'!P7:P18,9),'All Subcontractors'!P7:P18,0))),"")</f>
        <v/>
      </c>
      <c r="F18" s="20">
        <f>IFERROR(IF(SMALL('All Subcontractors'!P7:P18,9)&gt;90,"",INDEX('All Subcontractors'!F7:F18,MATCH(SMALL('All Subcontractors'!P7:P18,9),'All Subcontractors'!P7:P18,0))),"")</f>
        <v/>
      </c>
      <c r="G18" s="20">
        <f>IFERROR(IF(SMALL('All Subcontractors'!P7:P18,9)&gt;90,"",INDEX('All Subcontractors'!H7:H18,MATCH(SMALL('All Subcontractors'!P7:P18,9),'All Subcontractors'!P7:P18,0))),"")</f>
        <v/>
      </c>
      <c r="H18" s="20">
        <f>IFERROR(IF(SMALL('All Subcontractors'!P7:P18,9)&gt;90,"",INDEX('All Subcontractors'!J7:J18,MATCH(SMALL('All Subcontractors'!P7:P18,9),'All Subcontractors'!P7:P18,0))),"")</f>
        <v/>
      </c>
      <c r="I18" s="21">
        <f>IFERROR(IF(SMALL('All Subcontractors'!P7:P18,9)&gt;90,"",INDEX('All Subcontractors'!Q7:Q18,MATCH(SMALL('All Subcontractors'!P7:P18,9),'All Subcontractors'!P7:P18,0))),"")</f>
        <v/>
      </c>
      <c r="J18" s="28">
        <f>IFERROR(IF(SMALL('All Subcontractors'!P7:P18,9)&gt;90,"",INDEX('All Subcontractors'!R7:R18,MATCH(SMALL('All Subcontractors'!P7:P18,9),'All Subcontractors'!P7:P18,0))),"")</f>
        <v/>
      </c>
    </row>
    <row r="19">
      <c r="A19" s="29">
        <f>IFERROR(IF(SMALL('All Subcontractors'!P7:P18,10)&gt;90,"",INDEX('All Subcontractors'!A7:A18,MATCH(SMALL('All Subcontractors'!P7:P18,10),'All Subcontractors'!P7:P18,0))),"")</f>
        <v/>
      </c>
      <c r="B19" s="29">
        <f>IFERROR(IF(SMALL('All Subcontractors'!P7:P18,10)&gt;90,"",INDEX('All Subcontractors'!B7:B18,MATCH(SMALL('All Subcontractors'!P7:P18,10),'All Subcontractors'!P7:P18,0))),"")</f>
        <v/>
      </c>
      <c r="C19" s="25">
        <f>IFERROR(IF(SMALL('All Subcontractors'!P7:P18,10)&gt;90,"",INDEX('All Subcontractors'!O7:O18,MATCH(SMALL('All Subcontractors'!P7:P18,10),'All Subcontractors'!P7:P18,0))),"")</f>
        <v/>
      </c>
      <c r="D19" s="11">
        <f>IFERROR(IF(SMALL('All Subcontractors'!P7:P18,10)&gt;90,"",SMALL('All Subcontractors'!P7:P18,10)),"")</f>
        <v/>
      </c>
      <c r="E19" s="25">
        <f>IFERROR(IF(SMALL('All Subcontractors'!P7:P18,10)&gt;90,"",INDEX('All Subcontractors'!D7:D18,MATCH(SMALL('All Subcontractors'!P7:P18,10),'All Subcontractors'!P7:P18,0))),"")</f>
        <v/>
      </c>
      <c r="F19" s="25">
        <f>IFERROR(IF(SMALL('All Subcontractors'!P7:P18,10)&gt;90,"",INDEX('All Subcontractors'!F7:F18,MATCH(SMALL('All Subcontractors'!P7:P18,10),'All Subcontractors'!P7:P18,0))),"")</f>
        <v/>
      </c>
      <c r="G19" s="25">
        <f>IFERROR(IF(SMALL('All Subcontractors'!P7:P18,10)&gt;90,"",INDEX('All Subcontractors'!H7:H18,MATCH(SMALL('All Subcontractors'!P7:P18,10),'All Subcontractors'!P7:P18,0))),"")</f>
        <v/>
      </c>
      <c r="H19" s="25">
        <f>IFERROR(IF(SMALL('All Subcontractors'!P7:P18,10)&gt;90,"",INDEX('All Subcontractors'!J7:J18,MATCH(SMALL('All Subcontractors'!P7:P18,10),'All Subcontractors'!P7:P18,0))),"")</f>
        <v/>
      </c>
      <c r="I19" s="26">
        <f>IFERROR(IF(SMALL('All Subcontractors'!P7:P18,10)&gt;90,"",INDEX('All Subcontractors'!Q7:Q18,MATCH(SMALL('All Subcontractors'!P7:P18,10),'All Subcontractors'!P7:P18,0))),"")</f>
        <v/>
      </c>
      <c r="J19" s="29">
        <f>IFERROR(IF(SMALL('All Subcontractors'!P7:P18,10)&gt;90,"",INDEX('All Subcontractors'!R7:R18,MATCH(SMALL('All Subcontractors'!P7:P18,10),'All Subcontractors'!P7:P18,0))),"")</f>
        <v/>
      </c>
    </row>
    <row r="20">
      <c r="A20" s="28">
        <f>IFERROR(IF(SMALL('All Subcontractors'!P7:P18,11)&gt;90,"",INDEX('All Subcontractors'!A7:A18,MATCH(SMALL('All Subcontractors'!P7:P18,11),'All Subcontractors'!P7:P18,0))),"")</f>
        <v/>
      </c>
      <c r="B20" s="28">
        <f>IFERROR(IF(SMALL('All Subcontractors'!P7:P18,11)&gt;90,"",INDEX('All Subcontractors'!B7:B18,MATCH(SMALL('All Subcontractors'!P7:P18,11),'All Subcontractors'!P7:P18,0))),"")</f>
        <v/>
      </c>
      <c r="C20" s="20">
        <f>IFERROR(IF(SMALL('All Subcontractors'!P7:P18,11)&gt;90,"",INDEX('All Subcontractors'!O7:O18,MATCH(SMALL('All Subcontractors'!P7:P18,11),'All Subcontractors'!P7:P18,0))),"")</f>
        <v/>
      </c>
      <c r="D20" s="9">
        <f>IFERROR(IF(SMALL('All Subcontractors'!P7:P18,11)&gt;90,"",SMALL('All Subcontractors'!P7:P18,11)),"")</f>
        <v/>
      </c>
      <c r="E20" s="20">
        <f>IFERROR(IF(SMALL('All Subcontractors'!P7:P18,11)&gt;90,"",INDEX('All Subcontractors'!D7:D18,MATCH(SMALL('All Subcontractors'!P7:P18,11),'All Subcontractors'!P7:P18,0))),"")</f>
        <v/>
      </c>
      <c r="F20" s="20">
        <f>IFERROR(IF(SMALL('All Subcontractors'!P7:P18,11)&gt;90,"",INDEX('All Subcontractors'!F7:F18,MATCH(SMALL('All Subcontractors'!P7:P18,11),'All Subcontractors'!P7:P18,0))),"")</f>
        <v/>
      </c>
      <c r="G20" s="20">
        <f>IFERROR(IF(SMALL('All Subcontractors'!P7:P18,11)&gt;90,"",INDEX('All Subcontractors'!H7:H18,MATCH(SMALL('All Subcontractors'!P7:P18,11),'All Subcontractors'!P7:P18,0))),"")</f>
        <v/>
      </c>
      <c r="H20" s="20">
        <f>IFERROR(IF(SMALL('All Subcontractors'!P7:P18,11)&gt;90,"",INDEX('All Subcontractors'!J7:J18,MATCH(SMALL('All Subcontractors'!P7:P18,11),'All Subcontractors'!P7:P18,0))),"")</f>
        <v/>
      </c>
      <c r="I20" s="21">
        <f>IFERROR(IF(SMALL('All Subcontractors'!P7:P18,11)&gt;90,"",INDEX('All Subcontractors'!Q7:Q18,MATCH(SMALL('All Subcontractors'!P7:P18,11),'All Subcontractors'!P7:P18,0))),"")</f>
        <v/>
      </c>
      <c r="J20" s="28">
        <f>IFERROR(IF(SMALL('All Subcontractors'!P7:P18,11)&gt;90,"",INDEX('All Subcontractors'!R7:R18,MATCH(SMALL('All Subcontractors'!P7:P18,11),'All Subcontractors'!P7:P18,0))),"")</f>
        <v/>
      </c>
    </row>
    <row r="21">
      <c r="A21" s="29">
        <f>IFERROR(IF(SMALL('All Subcontractors'!P7:P18,12)&gt;90,"",INDEX('All Subcontractors'!A7:A18,MATCH(SMALL('All Subcontractors'!P7:P18,12),'All Subcontractors'!P7:P18,0))),"")</f>
        <v/>
      </c>
      <c r="B21" s="29">
        <f>IFERROR(IF(SMALL('All Subcontractors'!P7:P18,12)&gt;90,"",INDEX('All Subcontractors'!B7:B18,MATCH(SMALL('All Subcontractors'!P7:P18,12),'All Subcontractors'!P7:P18,0))),"")</f>
        <v/>
      </c>
      <c r="C21" s="25">
        <f>IFERROR(IF(SMALL('All Subcontractors'!P7:P18,12)&gt;90,"",INDEX('All Subcontractors'!O7:O18,MATCH(SMALL('All Subcontractors'!P7:P18,12),'All Subcontractors'!P7:P18,0))),"")</f>
        <v/>
      </c>
      <c r="D21" s="11">
        <f>IFERROR(IF(SMALL('All Subcontractors'!P7:P18,12)&gt;90,"",SMALL('All Subcontractors'!P7:P18,12)),"")</f>
        <v/>
      </c>
      <c r="E21" s="25">
        <f>IFERROR(IF(SMALL('All Subcontractors'!P7:P18,12)&gt;90,"",INDEX('All Subcontractors'!D7:D18,MATCH(SMALL('All Subcontractors'!P7:P18,12),'All Subcontractors'!P7:P18,0))),"")</f>
        <v/>
      </c>
      <c r="F21" s="25">
        <f>IFERROR(IF(SMALL('All Subcontractors'!P7:P18,12)&gt;90,"",INDEX('All Subcontractors'!F7:F18,MATCH(SMALL('All Subcontractors'!P7:P18,12),'All Subcontractors'!P7:P18,0))),"")</f>
        <v/>
      </c>
      <c r="G21" s="25">
        <f>IFERROR(IF(SMALL('All Subcontractors'!P7:P18,12)&gt;90,"",INDEX('All Subcontractors'!H7:H18,MATCH(SMALL('All Subcontractors'!P7:P18,12),'All Subcontractors'!P7:P18,0))),"")</f>
        <v/>
      </c>
      <c r="H21" s="25">
        <f>IFERROR(IF(SMALL('All Subcontractors'!P7:P18,12)&gt;90,"",INDEX('All Subcontractors'!J7:J18,MATCH(SMALL('All Subcontractors'!P7:P18,12),'All Subcontractors'!P7:P18,0))),"")</f>
        <v/>
      </c>
      <c r="I21" s="26">
        <f>IFERROR(IF(SMALL('All Subcontractors'!P7:P18,12)&gt;90,"",INDEX('All Subcontractors'!Q7:Q18,MATCH(SMALL('All Subcontractors'!P7:P18,12),'All Subcontractors'!P7:P18,0))),"")</f>
        <v/>
      </c>
      <c r="J21" s="29">
        <f>IFERROR(IF(SMALL('All Subcontractors'!P7:P18,12)&gt;90,"",INDEX('All Subcontractors'!R7:R18,MATCH(SMALL('All Subcontractors'!P7:P18,12),'All Subcontractors'!P7:P18,0))),"")</f>
        <v/>
      </c>
    </row>
  </sheetData>
  <mergeCells count="2">
    <mergeCell ref="A2:H2"/>
    <mergeCell ref="A1:H1"/>
  </mergeCells>
  <conditionalFormatting sqref="A6">
    <cfRule type="cellIs" priority="1" operator="greaterThan" dxfId="1">
      <formula>0</formula>
    </cfRule>
  </conditionalFormatting>
  <conditionalFormatting sqref="D10:D21">
    <cfRule type="cellIs" priority="2" operator="lessThan" dxfId="5">
      <formula>0</formula>
    </cfRule>
    <cfRule type="cellIs" priority="3" operator="between" dxfId="6">
      <formula>0</formula>
      <formula>30</formula>
    </cfRule>
  </conditionalFormatting>
  <conditionalFormatting sqref="I10:I21">
    <cfRule type="cellIs" priority="4" operator="equal" dxfId="2">
      <formula>"Expired"</formula>
    </cfRule>
    <cfRule type="cellIs" priority="5" operator="equal" dxfId="3">
      <formula>"Expiring"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COI Compliance Tracker</dc:title>
  <dcterms:created xmlns:dcterms="http://purl.org/dc/terms/" xmlns:xsi="http://www.w3.org/2001/XMLSchema-instance" xsi:type="dcterms:W3CDTF">2026-04-07T19:44:21Z</dcterms:created>
  <dcterms:modified xmlns:dcterms="http://purl.org/dc/terms/" xmlns:xsi="http://www.w3.org/2001/XMLSchema-instance" xsi:type="dcterms:W3CDTF">2026-04-07T19:44:21Z</dcterms:modified>
</cp:coreProperties>
</file>