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 List" sheetId="1" state="visible" r:id="rId1"/>
    <sheet xmlns:r="http://schemas.openxmlformats.org/officeDocument/2006/relationships" name="Tier A Targets" sheetId="2" state="visible" r:id="rId2"/>
    <sheet xmlns:r="http://schemas.openxmlformats.org/officeDocument/2006/relationships" name="Tier B Targets" sheetId="3" state="visible" r:id="rId3"/>
    <sheet xmlns:r="http://schemas.openxmlformats.org/officeDocument/2006/relationships" name="All Targets" sheetId="4" state="visible" r:id="rId4"/>
    <sheet xmlns:r="http://schemas.openxmlformats.org/officeDocument/2006/relationships" name="Methodology" sheetId="5" state="visible" r:id="rId5"/>
  </sheets>
  <definedNames>
    <definedName name="_xlnm.Print_Titles" localSheetId="0">'Hit List'!$6:$6</definedName>
    <definedName name="_xlnm._FilterDatabase" localSheetId="3" hidden="1">'All Targets'!$A$4:$AG$14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Inter"/>
      <b val="1"/>
      <color rgb="00111010"/>
      <sz val="14"/>
    </font>
    <font>
      <name val="Inter"/>
      <color rgb="009a948c"/>
      <sz val="10"/>
    </font>
    <font>
      <name val="Inter"/>
      <b val="1"/>
      <color rgb="00FFFFFF"/>
      <sz val="9"/>
    </font>
    <font>
      <name val="Inter"/>
      <color rgb="00000000"/>
      <sz val="10"/>
    </font>
    <font>
      <name val="Inter"/>
      <color rgb="00111010"/>
      <sz val="10"/>
    </font>
    <font>
      <name val="Inter"/>
      <color rgb="000000FF"/>
      <sz val="10"/>
    </font>
    <font>
      <name val="Inter"/>
      <b val="1"/>
      <color rgb="00000000"/>
      <sz val="10"/>
    </font>
    <font>
      <name val="Inter"/>
      <b val="1"/>
      <color rgb="00111010"/>
      <sz val="11"/>
    </font>
  </fonts>
  <fills count="6">
    <fill>
      <patternFill/>
    </fill>
    <fill>
      <patternFill patternType="gray125"/>
    </fill>
    <fill>
      <patternFill patternType="solid">
        <fgColor rgb="00111010"/>
        <bgColor rgb="00111010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bottom style="medium">
        <color rgb="00111010"/>
      </bottom>
    </border>
    <border>
      <bottom style="hair">
        <color rgb="00D9D9D9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vertical="top" wrapText="1"/>
    </xf>
    <xf numFmtId="1" fontId="4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right" vertical="top" wrapText="1"/>
    </xf>
    <xf numFmtId="0" fontId="6" fillId="0" borderId="2" applyAlignment="1" pivotButton="0" quotePrefix="0" xfId="0">
      <alignment vertical="top" wrapText="1"/>
    </xf>
    <xf numFmtId="0" fontId="7" fillId="3" borderId="2" applyAlignment="1" pivotButton="0" quotePrefix="0" xfId="0">
      <alignment horizontal="center" vertical="top" wrapText="1"/>
    </xf>
    <xf numFmtId="0" fontId="4" fillId="4" borderId="2" applyAlignment="1" pivotButton="0" quotePrefix="0" xfId="0">
      <alignment horizontal="center" vertical="top" wrapText="1"/>
    </xf>
    <xf numFmtId="0" fontId="5" fillId="4" borderId="2" applyAlignment="1" pivotButton="0" quotePrefix="0" xfId="0">
      <alignment vertical="top" wrapText="1"/>
    </xf>
    <xf numFmtId="1" fontId="4" fillId="4" borderId="2" applyAlignment="1" pivotButton="0" quotePrefix="0" xfId="0">
      <alignment horizontal="center" vertical="top" wrapText="1"/>
    </xf>
    <xf numFmtId="0" fontId="5" fillId="4" borderId="2" applyAlignment="1" pivotButton="0" quotePrefix="0" xfId="0">
      <alignment horizontal="center" vertical="top" wrapText="1"/>
    </xf>
    <xf numFmtId="0" fontId="5" fillId="4" borderId="2" applyAlignment="1" pivotButton="0" quotePrefix="0" xfId="0">
      <alignment horizontal="right" vertical="top" wrapText="1"/>
    </xf>
    <xf numFmtId="0" fontId="6" fillId="4" borderId="2" applyAlignment="1" pivotButton="0" quotePrefix="0" xfId="0">
      <alignment vertical="top" wrapText="1"/>
    </xf>
    <xf numFmtId="0" fontId="7" fillId="5" borderId="2" applyAlignment="1" pivotButton="0" quotePrefix="0" xfId="0">
      <alignment horizontal="center" vertical="top" wrapText="1"/>
    </xf>
    <xf numFmtId="1" fontId="6" fillId="0" borderId="2" applyAlignment="1" pivotButton="0" quotePrefix="0" xfId="0">
      <alignment vertical="top" wrapText="1"/>
    </xf>
    <xf numFmtId="164" fontId="5" fillId="0" borderId="2" applyAlignment="1" pivotButton="0" quotePrefix="0" xfId="0">
      <alignment vertical="top" wrapText="1"/>
    </xf>
    <xf numFmtId="1" fontId="5" fillId="0" borderId="2" applyAlignment="1" pivotButton="0" quotePrefix="0" xfId="0">
      <alignment vertical="top" wrapText="1"/>
    </xf>
    <xf numFmtId="1" fontId="6" fillId="4" borderId="2" applyAlignment="1" pivotButton="0" quotePrefix="0" xfId="0">
      <alignment vertical="top" wrapText="1"/>
    </xf>
    <xf numFmtId="164" fontId="5" fillId="4" borderId="2" applyAlignment="1" pivotButton="0" quotePrefix="0" xfId="0">
      <alignment vertical="top" wrapText="1"/>
    </xf>
    <xf numFmtId="1" fontId="5" fillId="4" borderId="2" applyAlignment="1" pivotButton="0" quotePrefix="0" xfId="0">
      <alignment vertical="top" wrapText="1"/>
    </xf>
    <xf numFmtId="0" fontId="2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49" fontId="4" fillId="0" borderId="2" applyAlignment="1" pivotButton="0" quotePrefix="0" xfId="0">
      <alignment horizontal="center" vertical="top" wrapText="1"/>
    </xf>
    <xf numFmtId="164" fontId="4" fillId="0" borderId="2" applyAlignment="1" pivotButton="0" quotePrefix="0" xfId="0">
      <alignment horizontal="center" vertical="top" wrapText="1"/>
    </xf>
    <xf numFmtId="1" fontId="6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right" vertical="top" wrapText="1"/>
    </xf>
    <xf numFmtId="164" fontId="6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top" wrapText="1"/>
    </xf>
    <xf numFmtId="49" fontId="4" fillId="4" borderId="2" applyAlignment="1" pivotButton="0" quotePrefix="0" xfId="0">
      <alignment horizontal="center" vertical="top" wrapText="1"/>
    </xf>
    <xf numFmtId="164" fontId="4" fillId="4" borderId="2" applyAlignment="1" pivotButton="0" quotePrefix="0" xfId="0">
      <alignment horizontal="center" vertical="top" wrapText="1"/>
    </xf>
    <xf numFmtId="1" fontId="6" fillId="4" borderId="2" applyAlignment="1" pivotButton="0" quotePrefix="0" xfId="0">
      <alignment horizontal="center" vertical="top" wrapText="1"/>
    </xf>
    <xf numFmtId="0" fontId="6" fillId="4" borderId="2" applyAlignment="1" pivotButton="0" quotePrefix="0" xfId="0">
      <alignment horizontal="right" vertical="top" wrapText="1"/>
    </xf>
    <xf numFmtId="164" fontId="6" fillId="4" borderId="2" applyAlignment="1" pivotButton="0" quotePrefix="0" xfId="0">
      <alignment horizontal="center" vertical="top" wrapText="1"/>
    </xf>
    <xf numFmtId="0" fontId="6" fillId="4" borderId="2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1" fontId="4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059669"/>
      </font>
      <fill>
        <patternFill patternType="solid">
          <fgColor rgb="00D1FAE5"/>
          <bgColor rgb="00D1FAE5"/>
        </patternFill>
      </fill>
    </dxf>
    <dxf>
      <font>
        <b val="1"/>
        <color rgb="00D97706"/>
      </font>
      <fill>
        <patternFill patternType="solid">
          <fgColor rgb="00FEF3C7"/>
          <bgColor rgb="00FEF3C7"/>
        </patternFill>
      </fill>
    </dxf>
    <dxf>
      <font>
        <b val="1"/>
        <color rgb="00DC2626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20" customWidth="1" min="4" max="4"/>
    <col width="16" customWidth="1" min="5" max="5"/>
    <col width="10" customWidth="1" min="6" max="6"/>
    <col width="14" customWidth="1" min="7" max="7"/>
    <col width="16" customWidth="1" min="8" max="8"/>
    <col width="40" customWidth="1" min="9" max="9"/>
    <col width="24" customWidth="1" min="10" max="10"/>
    <col width="8" customWidth="1" min="11" max="11"/>
  </cols>
  <sheetData>
    <row r="1">
      <c r="A1" s="1" t="inlineStr">
        <is>
          <t>ACQUISITION TARGET SCREEN</t>
        </is>
      </c>
    </row>
    <row r="2">
      <c r="A2" s="2" t="inlineStr">
        <is>
          <t>Prepared for Acme Plumbing LLC</t>
        </is>
      </c>
    </row>
    <row r="3">
      <c r="A3" s="2" t="inlineStr">
        <is>
          <t>Plumbing &amp; Mechanical — Metro Detroit, MI</t>
        </is>
      </c>
    </row>
    <row r="4">
      <c r="A4" s="2" t="inlineStr">
        <is>
          <t>Report Date: March 31, 2026</t>
        </is>
      </c>
    </row>
    <row r="6">
      <c r="A6" s="3" t="inlineStr">
        <is>
          <t>Rank</t>
        </is>
      </c>
      <c r="B6" s="3" t="inlineStr">
        <is>
          <t>Company Name</t>
        </is>
      </c>
      <c r="C6" s="3" t="inlineStr">
        <is>
          <t>City, State</t>
        </is>
      </c>
      <c r="D6" s="3" t="inlineStr">
        <is>
          <t>Owner</t>
        </is>
      </c>
      <c r="E6" s="3" t="inlineStr">
        <is>
          <t>Phone</t>
        </is>
      </c>
      <c r="F6" s="3" t="inlineStr">
        <is>
          <t>Yrs in Bus.</t>
        </is>
      </c>
      <c r="G6" s="3" t="inlineStr">
        <is>
          <t>Google Rating</t>
        </is>
      </c>
      <c r="H6" s="3" t="inlineStr">
        <is>
          <t>Est. Revenue</t>
        </is>
      </c>
      <c r="I6" s="3" t="inlineStr">
        <is>
          <t>Why Buy This One</t>
        </is>
      </c>
      <c r="J6" s="3" t="inlineStr">
        <is>
          <t>Approach Strategy</t>
        </is>
      </c>
      <c r="K6" s="3" t="inlineStr">
        <is>
          <t>Tier</t>
        </is>
      </c>
    </row>
    <row r="7">
      <c r="A7" s="4" t="n">
        <v>1</v>
      </c>
      <c r="B7" s="5" t="inlineStr">
        <is>
          <t>Smith Plumbing &amp; Heating Inc</t>
        </is>
      </c>
      <c r="C7" s="5" t="inlineStr">
        <is>
          <t>Troy, MI</t>
        </is>
      </c>
      <c r="D7" s="5" t="inlineStr">
        <is>
          <t>Robert Smith</t>
        </is>
      </c>
      <c r="E7" s="5" t="inlineStr">
        <is>
          <t>(248) 555-0142</t>
        </is>
      </c>
      <c r="F7" s="6">
        <f>2026-1988</f>
        <v/>
      </c>
      <c r="G7" s="7" t="inlineStr">
        <is>
          <t>4.8 (187 reviews)</t>
        </is>
      </c>
      <c r="H7" s="8" t="inlineStr">
        <is>
          <t>$1.8M-$2.4M</t>
        </is>
      </c>
      <c r="I7" s="9" t="inlineStr">
        <is>
          <t>Strong reputation, owner approaching retirement with no succession plan. 3 miles from HQ -- immediate bolt-on with shared customers.</t>
        </is>
      </c>
      <c r="J7" s="9" t="inlineStr">
        <is>
          <t>Call owner direct -- known in local trade association</t>
        </is>
      </c>
      <c r="K7" s="10" t="inlineStr">
        <is>
          <t>A</t>
        </is>
      </c>
    </row>
    <row r="8">
      <c r="A8" s="11" t="n">
        <v>2</v>
      </c>
      <c r="B8" s="12" t="inlineStr">
        <is>
          <t>Oakland Plumbing &amp; Fire Protection</t>
        </is>
      </c>
      <c r="C8" s="12" t="inlineStr">
        <is>
          <t>Auburn Hills, MI</t>
        </is>
      </c>
      <c r="D8" s="12" t="inlineStr">
        <is>
          <t>Thomas Brennan</t>
        </is>
      </c>
      <c r="E8" s="12" t="inlineStr">
        <is>
          <t>(248) 555-0519</t>
        </is>
      </c>
      <c r="F8" s="13">
        <f>2026-1992</f>
        <v/>
      </c>
      <c r="G8" s="14" t="inlineStr">
        <is>
          <t>4.4 (67 reviews)</t>
        </is>
      </c>
      <c r="H8" s="15" t="inlineStr">
        <is>
          <t>$1.5M-$2.2M</t>
        </is>
      </c>
      <c r="I8" s="16" t="inlineStr">
        <is>
          <t>Fire protection license is hard to get -- adds a whole new revenue stream. Owner is 64 with declining permit volume. Real estate included.</t>
        </is>
      </c>
      <c r="J8" s="16" t="inlineStr">
        <is>
          <t>Call owner direct -- met at Oakland County Contractors lunch</t>
        </is>
      </c>
      <c r="K8" s="10" t="inlineStr">
        <is>
          <t>A</t>
        </is>
      </c>
    </row>
    <row r="9">
      <c r="A9" s="4" t="n">
        <v>3</v>
      </c>
      <c r="B9" s="5" t="inlineStr">
        <is>
          <t>Midwest Mechanical Services LLC</t>
        </is>
      </c>
      <c r="C9" s="5" t="inlineStr">
        <is>
          <t>West Bloomfield, MI</t>
        </is>
      </c>
      <c r="D9" s="5" t="inlineStr">
        <is>
          <t>James and Patricia Kowalski</t>
        </is>
      </c>
      <c r="E9" s="5" t="inlineStr">
        <is>
          <t>(248) 555-0267</t>
        </is>
      </c>
      <c r="F9" s="6">
        <f>2026-1995</f>
        <v/>
      </c>
      <c r="G9" s="7" t="inlineStr">
        <is>
          <t>4.6 (142 reviews)</t>
        </is>
      </c>
      <c r="H9" s="8" t="inlineStr">
        <is>
          <t>$2.0M-$3.0M</t>
        </is>
      </c>
      <c r="I9" s="9" t="inlineStr">
        <is>
          <t>Diversified service lines add HVAC capability. Strong commercial book of business. Owners are early 60s, both working -- may be ready to step back.</t>
        </is>
      </c>
      <c r="J9" s="9" t="inlineStr">
        <is>
          <t>Ask through mutual contact at MPC supply house</t>
        </is>
      </c>
      <c r="K9" s="10" t="inlineStr">
        <is>
          <t>A</t>
        </is>
      </c>
    </row>
    <row r="10">
      <c r="A10" s="11" t="n">
        <v>4</v>
      </c>
      <c r="B10" s="12" t="inlineStr">
        <is>
          <t>Tri-County Mechanical Contractors</t>
        </is>
      </c>
      <c r="C10" s="12" t="inlineStr">
        <is>
          <t>Farmington Hills, MI</t>
        </is>
      </c>
      <c r="D10" s="12" t="inlineStr">
        <is>
          <t>Richard and Carol Hensley</t>
        </is>
      </c>
      <c r="E10" s="12" t="inlineStr">
        <is>
          <t>(248) 555-1299</t>
        </is>
      </c>
      <c r="F10" s="13">
        <f>2026-1991</f>
        <v/>
      </c>
      <c r="G10" s="14" t="inlineStr">
        <is>
          <t>4.3 (89 reviews)</t>
        </is>
      </c>
      <c r="H10" s="15" t="inlineStr">
        <is>
          <t>$3.0M-$4.5M</t>
        </is>
      </c>
      <c r="I10" s="16" t="inlineStr">
        <is>
          <t>Largest target on the list. Full mechanical contractor with HVAC, plumbing, and design-build. Would be transformative but complex integration. Owners in early 60s.</t>
        </is>
      </c>
      <c r="J10" s="16" t="inlineStr">
        <is>
          <t>Ask through mutual contact -- their estimator used to work for Acme</t>
        </is>
      </c>
      <c r="K10" s="10" t="inlineStr">
        <is>
          <t>A</t>
        </is>
      </c>
    </row>
    <row r="11">
      <c r="A11" s="4" t="n">
        <v>5</v>
      </c>
      <c r="B11" s="5" t="inlineStr">
        <is>
          <t>Heritage Plumbing &amp; Radiant LLC</t>
        </is>
      </c>
      <c r="C11" s="5" t="inlineStr">
        <is>
          <t>Highland, MI</t>
        </is>
      </c>
      <c r="D11" s="5" t="inlineStr">
        <is>
          <t>William Crawford</t>
        </is>
      </c>
      <c r="E11" s="5" t="inlineStr">
        <is>
          <t>(248) 555-0888</t>
        </is>
      </c>
      <c r="F11" s="6">
        <f>2026-1985</f>
        <v/>
      </c>
      <c r="G11" s="7" t="inlineStr">
        <is>
          <t>4.9 (203 reviews)</t>
        </is>
      </c>
      <c r="H11" s="8" t="inlineStr">
        <is>
          <t>$900K-$1.4M</t>
        </is>
      </c>
      <c r="I11" s="9" t="inlineStr">
        <is>
          <t>Owner is 72 and actively looking to sell. Best Google rating in the dataset. Radiant/boiler specialty is rare and high-margin. Distance is a concern.</t>
        </is>
      </c>
      <c r="J11" s="9" t="inlineStr">
        <is>
          <t>Through broker -- owner has quietly engaged a local intermediary</t>
        </is>
      </c>
      <c r="K11" s="10" t="inlineStr">
        <is>
          <t>A</t>
        </is>
      </c>
    </row>
    <row r="12">
      <c r="A12" s="11" t="n">
        <v>6</v>
      </c>
      <c r="B12" s="12" t="inlineStr">
        <is>
          <t>Precision Pipe &amp; Drain Co</t>
        </is>
      </c>
      <c r="C12" s="12" t="inlineStr">
        <is>
          <t>Warren, MI</t>
        </is>
      </c>
      <c r="D12" s="12" t="inlineStr">
        <is>
          <t>David Nguyen</t>
        </is>
      </c>
      <c r="E12" s="12" t="inlineStr">
        <is>
          <t>(586) 555-0384</t>
        </is>
      </c>
      <c r="F12" s="13">
        <f>2026-2001</f>
        <v/>
      </c>
      <c r="G12" s="14" t="inlineStr">
        <is>
          <t>4.7 (98 reviews)</t>
        </is>
      </c>
      <c r="H12" s="15" t="inlineStr">
        <is>
          <t>$1.2M-$1.8M</t>
        </is>
      </c>
      <c r="I12" s="16" t="inlineStr">
        <is>
          <t>Drain/sewer specialty complements general plumbing. Good online presence, growing reviews. Owner not yet 60 but could be ready in 2-3 years.</t>
        </is>
      </c>
      <c r="J12" s="16" t="inlineStr">
        <is>
          <t>Call owner direct</t>
        </is>
      </c>
      <c r="K12" s="10" t="inlineStr">
        <is>
          <t>A</t>
        </is>
      </c>
    </row>
    <row r="13">
      <c r="A13" s="4" t="n">
        <v>7</v>
      </c>
      <c r="B13" s="5" t="inlineStr">
        <is>
          <t>Motor City Plumbing Inc</t>
        </is>
      </c>
      <c r="C13" s="5" t="inlineStr">
        <is>
          <t>Southfield, MI</t>
        </is>
      </c>
      <c r="D13" s="5" t="inlineStr">
        <is>
          <t>Marcus and Denise Williams</t>
        </is>
      </c>
      <c r="E13" s="5" t="inlineStr">
        <is>
          <t>(248) 555-0955</t>
        </is>
      </c>
      <c r="F13" s="6">
        <f>2026-2003</f>
        <v/>
      </c>
      <c r="G13" s="7" t="inlineStr">
        <is>
          <t>4.5 (112 reviews)</t>
        </is>
      </c>
      <c r="H13" s="8" t="inlineStr">
        <is>
          <t>$1.0M-$1.5M</t>
        </is>
      </c>
      <c r="I13" s="9" t="inlineStr">
        <is>
          <t>Good residential new construction pipeline. Husband-wife team, could stay on post-acquisition. Just outside Ring 1 but an easy drive.</t>
        </is>
      </c>
      <c r="J13" s="9" t="inlineStr">
        <is>
          <t>Ask through mutual contact at Home Builders Association</t>
        </is>
      </c>
      <c r="K13" s="17" t="inlineStr">
        <is>
          <t>B</t>
        </is>
      </c>
    </row>
    <row r="14">
      <c r="A14" s="11" t="n">
        <v>8</v>
      </c>
      <c r="B14" s="12" t="inlineStr">
        <is>
          <t>Lakeside Plumbing Solutions</t>
        </is>
      </c>
      <c r="C14" s="12" t="inlineStr">
        <is>
          <t>Waterford, MI</t>
        </is>
      </c>
      <c r="D14" s="12" t="inlineStr">
        <is>
          <t>Gary Peterson</t>
        </is>
      </c>
      <c r="E14" s="12" t="inlineStr">
        <is>
          <t>(248) 555-1023</t>
        </is>
      </c>
      <c r="F14" s="13">
        <f>2026-1998</f>
        <v/>
      </c>
      <c r="G14" s="14" t="inlineStr">
        <is>
          <t>4.2 (38 reviews)</t>
        </is>
      </c>
      <c r="H14" s="15" t="inlineStr">
        <is>
          <t>$700K-$1.0M</t>
        </is>
      </c>
      <c r="I14" s="16" t="inlineStr">
        <is>
          <t>Declining reviews suggest possible burnout or staffing issues. Owner may be motivated to sell. Service territory fills a geographic gap to the northwest.</t>
        </is>
      </c>
      <c r="J14" s="16" t="inlineStr">
        <is>
          <t>Call owner direct</t>
        </is>
      </c>
      <c r="K14" s="17" t="inlineStr">
        <is>
          <t>B</t>
        </is>
      </c>
    </row>
    <row r="15">
      <c r="A15" s="4" t="n">
        <v>9</v>
      </c>
      <c r="B15" s="5" t="inlineStr">
        <is>
          <t>Reliable Plumbing of Macomb</t>
        </is>
      </c>
      <c r="C15" s="5" t="inlineStr">
        <is>
          <t>Clinton Township, MI</t>
        </is>
      </c>
      <c r="D15" s="5" t="inlineStr">
        <is>
          <t>Anthony Russo</t>
        </is>
      </c>
      <c r="E15" s="5" t="inlineStr">
        <is>
          <t>(586) 555-1144</t>
        </is>
      </c>
      <c r="F15" s="6">
        <f>2026-2010</f>
        <v/>
      </c>
      <c r="G15" s="7" t="inlineStr">
        <is>
          <t>4.6 (76 reviews)</t>
        </is>
      </c>
      <c r="H15" s="8" t="inlineStr">
        <is>
          <t>$600K-$900K</t>
        </is>
      </c>
      <c r="I15" s="9" t="inlineStr">
        <is>
          <t>Gas line specialty is in high demand. Growing review count shows momentum. Distance and young owner make this a long-term watch.</t>
        </is>
      </c>
      <c r="J15" s="9" t="inlineStr">
        <is>
          <t>Monitor -- owner is under 50 and building the business</t>
        </is>
      </c>
      <c r="K15" s="17" t="inlineStr">
        <is>
          <t>B</t>
        </is>
      </c>
    </row>
    <row r="16">
      <c r="A16" s="11" t="n">
        <v>10</v>
      </c>
      <c r="B16" s="12" t="inlineStr">
        <is>
          <t>Great Lakes Drain Masters</t>
        </is>
      </c>
      <c r="C16" s="12" t="inlineStr">
        <is>
          <t>Eastpointe, MI</t>
        </is>
      </c>
      <c r="D16" s="12" t="inlineStr">
        <is>
          <t>Frank Deluca</t>
        </is>
      </c>
      <c r="E16" s="12" t="inlineStr">
        <is>
          <t>(586) 555-0731</t>
        </is>
      </c>
      <c r="F16" s="13">
        <f>2026-2008</f>
        <v/>
      </c>
      <c r="G16" s="14" t="inlineStr">
        <is>
          <t>4.3 (44 reviews)</t>
        </is>
      </c>
      <c r="H16" s="15" t="inlineStr">
        <is>
          <t>$400K-$700K</t>
        </is>
      </c>
      <c r="I16" s="16" t="inlineStr">
        <is>
          <t>Solid drain cleaning niche. Equipment is the real asset. Owner might sell if the price is right -- no website suggests low investment in growth.</t>
        </is>
      </c>
      <c r="J16" s="16" t="inlineStr">
        <is>
          <t>Call owner direct</t>
        </is>
      </c>
      <c r="K16" s="17" t="inlineStr">
        <is>
          <t>B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6" customWidth="1" min="4" max="4"/>
    <col width="22" customWidth="1" min="5" max="5"/>
    <col width="16" customWidth="1" min="6" max="6"/>
    <col width="10" customWidth="1" min="7" max="7"/>
    <col width="12" customWidth="1" min="8" max="8"/>
    <col width="10" customWidth="1" min="9" max="9"/>
    <col width="12" customWidth="1" min="10" max="10"/>
    <col width="14" customWidth="1" min="11" max="11"/>
    <col width="12" customWidth="1" min="12" max="12"/>
    <col width="10" customWidth="1" min="13" max="13"/>
    <col width="14" customWidth="1" min="14" max="14"/>
    <col width="12" customWidth="1" min="15" max="15"/>
    <col width="30" customWidth="1" min="16" max="16"/>
    <col width="22" customWidth="1" min="17" max="17"/>
    <col width="40" customWidth="1" min="18" max="18"/>
    <col width="24" customWidth="1" min="19" max="19"/>
  </cols>
  <sheetData>
    <row r="1">
      <c r="A1" s="1" t="inlineStr">
        <is>
          <t>Tier A Targets</t>
        </is>
      </c>
    </row>
    <row r="2">
      <c r="A2" s="2" t="inlineStr">
        <is>
          <t>Pursue immediately — best fit.</t>
        </is>
      </c>
    </row>
    <row r="4">
      <c r="A4" s="3" t="inlineStr">
        <is>
          <t>Rank</t>
        </is>
      </c>
      <c r="B4" s="3" t="inlineStr">
        <is>
          <t>Company Name</t>
        </is>
      </c>
      <c r="C4" s="3" t="inlineStr">
        <is>
          <t>Owner</t>
        </is>
      </c>
      <c r="D4" s="3" t="inlineStr">
        <is>
          <t>Phone</t>
        </is>
      </c>
      <c r="E4" s="3" t="inlineStr">
        <is>
          <t>Website</t>
        </is>
      </c>
      <c r="F4" s="3" t="inlineStr">
        <is>
          <t>Est. Revenue</t>
        </is>
      </c>
      <c r="G4" s="3" t="inlineStr">
        <is>
          <t>Employees</t>
        </is>
      </c>
      <c r="H4" s="3" t="inlineStr">
        <is>
          <t>Google Rating</t>
        </is>
      </c>
      <c r="I4" s="3" t="inlineStr">
        <is>
          <t>Reviews</t>
        </is>
      </c>
      <c r="J4" s="3" t="inlineStr">
        <is>
          <t>Owner Age</t>
        </is>
      </c>
      <c r="K4" s="3" t="inlineStr">
        <is>
          <t>Succession</t>
        </is>
      </c>
      <c r="L4" s="3" t="inlineStr">
        <is>
          <t>Distance (mi)</t>
        </is>
      </c>
      <c r="M4" s="3" t="inlineStr">
        <is>
          <t>Drive (min)</t>
        </is>
      </c>
      <c r="N4" s="3" t="inlineStr">
        <is>
          <t>Facility</t>
        </is>
      </c>
      <c r="O4" s="3" t="inlineStr">
        <is>
          <t>Owned/Leased</t>
        </is>
      </c>
      <c r="P4" s="3" t="inlineStr">
        <is>
          <t>Service Lines</t>
        </is>
      </c>
      <c r="Q4" s="3" t="inlineStr">
        <is>
          <t>Red Flags</t>
        </is>
      </c>
      <c r="R4" s="3" t="inlineStr">
        <is>
          <t>Why Buy</t>
        </is>
      </c>
      <c r="S4" s="3" t="inlineStr">
        <is>
          <t>Approach</t>
        </is>
      </c>
    </row>
    <row r="5">
      <c r="A5" s="5" t="n">
        <v>1</v>
      </c>
      <c r="B5" s="5" t="inlineStr">
        <is>
          <t>Smith Plumbing &amp; Heating Inc</t>
        </is>
      </c>
      <c r="C5" s="5" t="inlineStr">
        <is>
          <t>Robert Smith</t>
        </is>
      </c>
      <c r="D5" s="5" t="inlineStr">
        <is>
          <t>(248) 555-0142</t>
        </is>
      </c>
      <c r="E5" s="5" t="inlineStr">
        <is>
          <t>smithplumbingtroy.com</t>
        </is>
      </c>
      <c r="F5" s="9" t="inlineStr">
        <is>
          <t>$1.8M-$2.4M</t>
        </is>
      </c>
      <c r="G5" s="18" t="n">
        <v>14</v>
      </c>
      <c r="H5" s="19" t="n">
        <v>4.8</v>
      </c>
      <c r="I5" s="20" t="n">
        <v>187</v>
      </c>
      <c r="J5" s="5" t="inlineStr">
        <is>
          <t>60-69</t>
        </is>
      </c>
      <c r="K5" s="5" t="inlineStr">
        <is>
          <t>Likely</t>
        </is>
      </c>
      <c r="L5" s="19" t="n">
        <v>3.2</v>
      </c>
      <c r="M5" s="20" t="n">
        <v>8</v>
      </c>
      <c r="N5" s="5" t="inlineStr">
        <is>
          <t>Shop with yard</t>
        </is>
      </c>
      <c r="O5" s="5" t="inlineStr">
        <is>
          <t>Owned</t>
        </is>
      </c>
      <c r="P5" s="5" t="inlineStr">
        <is>
          <t>Residential plumbing, commercial plumbing, hydronic heating, water heaters</t>
        </is>
      </c>
      <c r="Q5" s="5" t="inlineStr">
        <is>
          <t>None</t>
        </is>
      </c>
      <c r="R5" s="9" t="inlineStr">
        <is>
          <t>Strong reputation, owner approaching retirement with no succession plan. 3 miles from HQ -- immediate bolt-on with shared customers.</t>
        </is>
      </c>
      <c r="S5" s="9" t="inlineStr">
        <is>
          <t>Call owner direct -- known in local trade association</t>
        </is>
      </c>
    </row>
    <row r="6">
      <c r="A6" s="12" t="n">
        <v>2</v>
      </c>
      <c r="B6" s="12" t="inlineStr">
        <is>
          <t>Oakland Plumbing &amp; Fire Protection</t>
        </is>
      </c>
      <c r="C6" s="12" t="inlineStr">
        <is>
          <t>Thomas Brennan</t>
        </is>
      </c>
      <c r="D6" s="12" t="inlineStr">
        <is>
          <t>(248) 555-0519</t>
        </is>
      </c>
      <c r="E6" s="12" t="inlineStr">
        <is>
          <t>oaklandplumbingfp.com</t>
        </is>
      </c>
      <c r="F6" s="16" t="inlineStr">
        <is>
          <t>$1.5M-$2.2M</t>
        </is>
      </c>
      <c r="G6" s="21" t="n">
        <v>12</v>
      </c>
      <c r="H6" s="22" t="n">
        <v>4.4</v>
      </c>
      <c r="I6" s="23" t="n">
        <v>67</v>
      </c>
      <c r="J6" s="12" t="inlineStr">
        <is>
          <t>60-69</t>
        </is>
      </c>
      <c r="K6" s="12" t="inlineStr">
        <is>
          <t>Likely</t>
        </is>
      </c>
      <c r="L6" s="22" t="n">
        <v>6.8</v>
      </c>
      <c r="M6" s="23" t="n">
        <v>14</v>
      </c>
      <c r="N6" s="12" t="inlineStr">
        <is>
          <t>Shop with yard</t>
        </is>
      </c>
      <c r="O6" s="12" t="inlineStr">
        <is>
          <t>Owned</t>
        </is>
      </c>
      <c r="P6" s="12" t="inlineStr">
        <is>
          <t>Commercial plumbing, fire sprinkler, backflow testing, tenant improvements</t>
        </is>
      </c>
      <c r="Q6" s="12" t="inlineStr">
        <is>
          <t>1 OSHA non-serious citation (2024, resolved)</t>
        </is>
      </c>
      <c r="R6" s="16" t="inlineStr">
        <is>
          <t>Fire protection license is hard to get -- adds a whole new revenue stream. Owner is 64 with declining permit volume. Real estate included.</t>
        </is>
      </c>
      <c r="S6" s="16" t="inlineStr">
        <is>
          <t>Call owner direct -- met at Oakland County Contractors lunch</t>
        </is>
      </c>
    </row>
    <row r="7">
      <c r="A7" s="5" t="n">
        <v>3</v>
      </c>
      <c r="B7" s="5" t="inlineStr">
        <is>
          <t>Midwest Mechanical Services LLC</t>
        </is>
      </c>
      <c r="C7" s="5" t="inlineStr">
        <is>
          <t>James and Patricia Kowalski</t>
        </is>
      </c>
      <c r="D7" s="5" t="inlineStr">
        <is>
          <t>(248) 555-0267</t>
        </is>
      </c>
      <c r="E7" s="5" t="inlineStr">
        <is>
          <t>midwestmechanical.com</t>
        </is>
      </c>
      <c r="F7" s="9" t="inlineStr">
        <is>
          <t>$2.0M-$3.0M</t>
        </is>
      </c>
      <c r="G7" s="18" t="n">
        <v>18</v>
      </c>
      <c r="H7" s="19" t="n">
        <v>4.6</v>
      </c>
      <c r="I7" s="20" t="n">
        <v>142</v>
      </c>
      <c r="J7" s="5" t="inlineStr">
        <is>
          <t>60-69</t>
        </is>
      </c>
      <c r="K7" s="5" t="inlineStr">
        <is>
          <t>Possible</t>
        </is>
      </c>
      <c r="L7" s="19" t="n">
        <v>8.5</v>
      </c>
      <c r="M7" s="20" t="n">
        <v>18</v>
      </c>
      <c r="N7" s="5" t="inlineStr">
        <is>
          <t>Warehouse with office</t>
        </is>
      </c>
      <c r="O7" s="5" t="inlineStr">
        <is>
          <t>Leased</t>
        </is>
      </c>
      <c r="P7" s="5" t="inlineStr">
        <is>
          <t>Commercial HVAC, plumbing, mechanical, service agreements</t>
        </is>
      </c>
      <c r="Q7" s="5" t="inlineStr">
        <is>
          <t>None</t>
        </is>
      </c>
      <c r="R7" s="9" t="inlineStr">
        <is>
          <t>Diversified service lines add HVAC capability. Strong commercial book of business. Owners are early 60s, both working -- may be ready to step back.</t>
        </is>
      </c>
      <c r="S7" s="9" t="inlineStr">
        <is>
          <t>Ask through mutual contact at MPC supply house</t>
        </is>
      </c>
    </row>
    <row r="8">
      <c r="A8" s="12" t="n">
        <v>4</v>
      </c>
      <c r="B8" s="12" t="inlineStr">
        <is>
          <t>Tri-County Mechanical Contractors</t>
        </is>
      </c>
      <c r="C8" s="12" t="inlineStr">
        <is>
          <t>Richard and Carol Hensley</t>
        </is>
      </c>
      <c r="D8" s="12" t="inlineStr">
        <is>
          <t>(248) 555-1299</t>
        </is>
      </c>
      <c r="E8" s="12" t="inlineStr">
        <is>
          <t>tricountymechanical.com</t>
        </is>
      </c>
      <c r="F8" s="16" t="inlineStr">
        <is>
          <t>$3.0M-$4.5M</t>
        </is>
      </c>
      <c r="G8" s="21" t="n">
        <v>28</v>
      </c>
      <c r="H8" s="22" t="n">
        <v>4.3</v>
      </c>
      <c r="I8" s="23" t="n">
        <v>89</v>
      </c>
      <c r="J8" s="12" t="inlineStr">
        <is>
          <t>60-69</t>
        </is>
      </c>
      <c r="K8" s="12" t="inlineStr">
        <is>
          <t>Possible</t>
        </is>
      </c>
      <c r="L8" s="22" t="n">
        <v>9.4</v>
      </c>
      <c r="M8" s="23" t="n">
        <v>17</v>
      </c>
      <c r="N8" s="12" t="inlineStr">
        <is>
          <t>Warehouse with yard</t>
        </is>
      </c>
      <c r="O8" s="12" t="inlineStr">
        <is>
          <t>Owned</t>
        </is>
      </c>
      <c r="P8" s="12" t="inlineStr">
        <is>
          <t>Commercial HVAC, plumbing, mechanical piping, design-build, service contracts</t>
        </is>
      </c>
      <c r="Q8" s="12" t="inlineStr">
        <is>
          <t>2 OSHA non-serious citations (2023, both resolved)</t>
        </is>
      </c>
      <c r="R8" s="16" t="inlineStr">
        <is>
          <t>Largest target on the list. Full mechanical contractor with HVAC, plumbing, and design-build. Would be transformative but complex integration. Owners in early 60s.</t>
        </is>
      </c>
      <c r="S8" s="16" t="inlineStr">
        <is>
          <t>Ask through mutual contact -- their estimator used to work for Acme</t>
        </is>
      </c>
    </row>
    <row r="9">
      <c r="A9" s="5" t="n">
        <v>5</v>
      </c>
      <c r="B9" s="5" t="inlineStr">
        <is>
          <t>Heritage Plumbing &amp; Radiant LLC</t>
        </is>
      </c>
      <c r="C9" s="5" t="inlineStr">
        <is>
          <t>William Crawford</t>
        </is>
      </c>
      <c r="D9" s="5" t="inlineStr">
        <is>
          <t>(248) 555-0888</t>
        </is>
      </c>
      <c r="E9" s="5" t="inlineStr">
        <is>
          <t>heritageplumbingmi.com</t>
        </is>
      </c>
      <c r="F9" s="9" t="inlineStr">
        <is>
          <t>$900K-$1.4M</t>
        </is>
      </c>
      <c r="G9" s="18" t="n">
        <v>8</v>
      </c>
      <c r="H9" s="19" t="n">
        <v>4.9</v>
      </c>
      <c r="I9" s="20" t="n">
        <v>203</v>
      </c>
      <c r="J9" s="5" t="inlineStr">
        <is>
          <t>70+</t>
        </is>
      </c>
      <c r="K9" s="5" t="inlineStr">
        <is>
          <t>Active exit</t>
        </is>
      </c>
      <c r="L9" s="19" t="n">
        <v>28.5</v>
      </c>
      <c r="M9" s="20" t="n">
        <v>38</v>
      </c>
      <c r="N9" s="5" t="inlineStr">
        <is>
          <t>Shop</t>
        </is>
      </c>
      <c r="O9" s="5" t="inlineStr">
        <is>
          <t>Owned</t>
        </is>
      </c>
      <c r="P9" s="5" t="inlineStr">
        <is>
          <t>Radiant heating, boiler service, residential plumbing, well pumps</t>
        </is>
      </c>
      <c r="Q9" s="5" t="inlineStr">
        <is>
          <t>None</t>
        </is>
      </c>
      <c r="R9" s="9" t="inlineStr">
        <is>
          <t>Owner is 72 and actively looking to sell. Best Google rating in the dataset. Radiant/boiler specialty is rare and high-margin. Distance is a concern.</t>
        </is>
      </c>
      <c r="S9" s="9" t="inlineStr">
        <is>
          <t>Through broker -- owner has quietly engaged a local intermediary</t>
        </is>
      </c>
    </row>
    <row r="10">
      <c r="A10" s="12" t="n">
        <v>6</v>
      </c>
      <c r="B10" s="12" t="inlineStr">
        <is>
          <t>Precision Pipe &amp; Drain Co</t>
        </is>
      </c>
      <c r="C10" s="12" t="inlineStr">
        <is>
          <t>David Nguyen</t>
        </is>
      </c>
      <c r="D10" s="12" t="inlineStr">
        <is>
          <t>(586) 555-0384</t>
        </is>
      </c>
      <c r="E10" s="12" t="inlineStr">
        <is>
          <t>precisionpipedrain.com</t>
        </is>
      </c>
      <c r="F10" s="16" t="inlineStr">
        <is>
          <t>$1.2M-$1.8M</t>
        </is>
      </c>
      <c r="G10" s="21" t="n">
        <v>10</v>
      </c>
      <c r="H10" s="22" t="n">
        <v>4.7</v>
      </c>
      <c r="I10" s="23" t="n">
        <v>98</v>
      </c>
      <c r="J10" s="12" t="inlineStr">
        <is>
          <t>50-59</t>
        </is>
      </c>
      <c r="K10" s="12" t="inlineStr">
        <is>
          <t>None</t>
        </is>
      </c>
      <c r="L10" s="22" t="n">
        <v>12.4</v>
      </c>
      <c r="M10" s="23" t="n">
        <v>22</v>
      </c>
      <c r="N10" s="12" t="inlineStr">
        <is>
          <t>Shop</t>
        </is>
      </c>
      <c r="O10" s="12" t="inlineStr">
        <is>
          <t>Leased</t>
        </is>
      </c>
      <c r="P10" s="12" t="inlineStr">
        <is>
          <t>Drain cleaning, sewer repair, residential plumbing, water line replacement</t>
        </is>
      </c>
      <c r="Q10" s="12" t="inlineStr">
        <is>
          <t>None</t>
        </is>
      </c>
      <c r="R10" s="16" t="inlineStr">
        <is>
          <t>Drain/sewer specialty complements general plumbing. Good online presence, growing reviews. Owner not yet 60 but could be ready in 2-3 years.</t>
        </is>
      </c>
      <c r="S10" s="16" t="inlineStr">
        <is>
          <t>Call owner direct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6" customWidth="1" min="4" max="4"/>
    <col width="22" customWidth="1" min="5" max="5"/>
    <col width="16" customWidth="1" min="6" max="6"/>
    <col width="10" customWidth="1" min="7" max="7"/>
    <col width="12" customWidth="1" min="8" max="8"/>
    <col width="10" customWidth="1" min="9" max="9"/>
    <col width="12" customWidth="1" min="10" max="10"/>
    <col width="14" customWidth="1" min="11" max="11"/>
    <col width="12" customWidth="1" min="12" max="12"/>
    <col width="10" customWidth="1" min="13" max="13"/>
    <col width="14" customWidth="1" min="14" max="14"/>
    <col width="12" customWidth="1" min="15" max="15"/>
    <col width="30" customWidth="1" min="16" max="16"/>
    <col width="22" customWidth="1" min="17" max="17"/>
    <col width="40" customWidth="1" min="18" max="18"/>
    <col width="24" customWidth="1" min="19" max="19"/>
  </cols>
  <sheetData>
    <row r="1">
      <c r="A1" s="1" t="inlineStr">
        <is>
          <t>Tier B Targets</t>
        </is>
      </c>
    </row>
    <row r="2">
      <c r="A2" s="2" t="inlineStr">
        <is>
          <t>Worth a conversation — good bones, has a gap.</t>
        </is>
      </c>
    </row>
    <row r="4">
      <c r="A4" s="3" t="inlineStr">
        <is>
          <t>Rank</t>
        </is>
      </c>
      <c r="B4" s="3" t="inlineStr">
        <is>
          <t>Company Name</t>
        </is>
      </c>
      <c r="C4" s="3" t="inlineStr">
        <is>
          <t>Owner</t>
        </is>
      </c>
      <c r="D4" s="3" t="inlineStr">
        <is>
          <t>Phone</t>
        </is>
      </c>
      <c r="E4" s="3" t="inlineStr">
        <is>
          <t>Website</t>
        </is>
      </c>
      <c r="F4" s="3" t="inlineStr">
        <is>
          <t>Est. Revenue</t>
        </is>
      </c>
      <c r="G4" s="3" t="inlineStr">
        <is>
          <t>Employees</t>
        </is>
      </c>
      <c r="H4" s="3" t="inlineStr">
        <is>
          <t>Google Rating</t>
        </is>
      </c>
      <c r="I4" s="3" t="inlineStr">
        <is>
          <t>Reviews</t>
        </is>
      </c>
      <c r="J4" s="3" t="inlineStr">
        <is>
          <t>Owner Age</t>
        </is>
      </c>
      <c r="K4" s="3" t="inlineStr">
        <is>
          <t>Succession</t>
        </is>
      </c>
      <c r="L4" s="3" t="inlineStr">
        <is>
          <t>Distance (mi)</t>
        </is>
      </c>
      <c r="M4" s="3" t="inlineStr">
        <is>
          <t>Drive (min)</t>
        </is>
      </c>
      <c r="N4" s="3" t="inlineStr">
        <is>
          <t>Facility</t>
        </is>
      </c>
      <c r="O4" s="3" t="inlineStr">
        <is>
          <t>Owned/Leased</t>
        </is>
      </c>
      <c r="P4" s="3" t="inlineStr">
        <is>
          <t>Service Lines</t>
        </is>
      </c>
      <c r="Q4" s="3" t="inlineStr">
        <is>
          <t>Red Flags</t>
        </is>
      </c>
      <c r="R4" s="3" t="inlineStr">
        <is>
          <t>Why Buy</t>
        </is>
      </c>
      <c r="S4" s="3" t="inlineStr">
        <is>
          <t>Approach</t>
        </is>
      </c>
    </row>
    <row r="5">
      <c r="A5" s="5" t="n">
        <v>7</v>
      </c>
      <c r="B5" s="5" t="inlineStr">
        <is>
          <t>Motor City Plumbing Inc</t>
        </is>
      </c>
      <c r="C5" s="5" t="inlineStr">
        <is>
          <t>Marcus and Denise Williams</t>
        </is>
      </c>
      <c r="D5" s="5" t="inlineStr">
        <is>
          <t>(248) 555-0955</t>
        </is>
      </c>
      <c r="E5" s="5" t="inlineStr">
        <is>
          <t>motorcityplumbing.com</t>
        </is>
      </c>
      <c r="F5" s="9" t="inlineStr">
        <is>
          <t>$1.0M-$1.5M</t>
        </is>
      </c>
      <c r="G5" s="18" t="n">
        <v>9</v>
      </c>
      <c r="H5" s="19" t="n">
        <v>4.5</v>
      </c>
      <c r="I5" s="20" t="n">
        <v>112</v>
      </c>
      <c r="J5" s="5" t="inlineStr">
        <is>
          <t>50-59</t>
        </is>
      </c>
      <c r="K5" s="5" t="inlineStr">
        <is>
          <t>None</t>
        </is>
      </c>
      <c r="L5" s="19" t="n">
        <v>10.1</v>
      </c>
      <c r="M5" s="20" t="n">
        <v>20</v>
      </c>
      <c r="N5" s="5" t="inlineStr">
        <is>
          <t>Warehouse</t>
        </is>
      </c>
      <c r="O5" s="5" t="inlineStr">
        <is>
          <t>Leased</t>
        </is>
      </c>
      <c r="P5" s="5" t="inlineStr">
        <is>
          <t>Residential plumbing, new construction, remodel</t>
        </is>
      </c>
      <c r="Q5" s="5" t="inlineStr">
        <is>
          <t>None</t>
        </is>
      </c>
      <c r="R5" s="9" t="inlineStr">
        <is>
          <t>Good residential new construction pipeline. Husband-wife team, could stay on post-acquisition. Just outside Ring 1 but an easy drive.</t>
        </is>
      </c>
      <c r="S5" s="9" t="inlineStr">
        <is>
          <t>Ask through mutual contact at Home Builders Association</t>
        </is>
      </c>
    </row>
    <row r="6">
      <c r="A6" s="12" t="n">
        <v>8</v>
      </c>
      <c r="B6" s="12" t="inlineStr">
        <is>
          <t>Lakeside Plumbing Solutions</t>
        </is>
      </c>
      <c r="C6" s="12" t="inlineStr">
        <is>
          <t>Gary Peterson</t>
        </is>
      </c>
      <c r="D6" s="12" t="inlineStr">
        <is>
          <t>(248) 555-1023</t>
        </is>
      </c>
      <c r="E6" s="12" t="inlineStr">
        <is>
          <t>lakesideplumbingsolutions.com</t>
        </is>
      </c>
      <c r="F6" s="16" t="inlineStr">
        <is>
          <t>$700K-$1.0M</t>
        </is>
      </c>
      <c r="G6" s="21" t="n">
        <v>6</v>
      </c>
      <c r="H6" s="22" t="n">
        <v>4.2</v>
      </c>
      <c r="I6" s="23" t="n">
        <v>38</v>
      </c>
      <c r="J6" s="12" t="inlineStr">
        <is>
          <t>60-69</t>
        </is>
      </c>
      <c r="K6" s="12" t="inlineStr">
        <is>
          <t>Possible</t>
        </is>
      </c>
      <c r="L6" s="22" t="n">
        <v>14.8</v>
      </c>
      <c r="M6" s="23" t="n">
        <v>25</v>
      </c>
      <c r="N6" s="12" t="inlineStr">
        <is>
          <t>Shop</t>
        </is>
      </c>
      <c r="O6" s="12" t="inlineStr">
        <is>
          <t>Leased</t>
        </is>
      </c>
      <c r="P6" s="12" t="inlineStr">
        <is>
          <t>Residential service, water heaters, sump pumps</t>
        </is>
      </c>
      <c r="Q6" s="12" t="inlineStr">
        <is>
          <t>Declining Google reviews -- 2 recent 1-star reviews mentioning scheduling issues</t>
        </is>
      </c>
      <c r="R6" s="16" t="inlineStr">
        <is>
          <t>Declining reviews suggest possible burnout or staffing issues. Owner may be motivated to sell. Service territory fills a geographic gap to the northwest.</t>
        </is>
      </c>
      <c r="S6" s="16" t="inlineStr">
        <is>
          <t>Call owner direct</t>
        </is>
      </c>
    </row>
    <row r="7">
      <c r="A7" s="5" t="n">
        <v>9</v>
      </c>
      <c r="B7" s="5" t="inlineStr">
        <is>
          <t>Reliable Plumbing of Macomb</t>
        </is>
      </c>
      <c r="C7" s="5" t="inlineStr">
        <is>
          <t>Anthony Russo</t>
        </is>
      </c>
      <c r="D7" s="5" t="inlineStr">
        <is>
          <t>(586) 555-1144</t>
        </is>
      </c>
      <c r="E7" s="5" t="inlineStr">
        <is>
          <t>reliableplumbingmacomb.com</t>
        </is>
      </c>
      <c r="F7" s="9" t="inlineStr">
        <is>
          <t>$600K-$900K</t>
        </is>
      </c>
      <c r="G7" s="18" t="n">
        <v>5</v>
      </c>
      <c r="H7" s="19" t="n">
        <v>4.6</v>
      </c>
      <c r="I7" s="20" t="n">
        <v>76</v>
      </c>
      <c r="J7" s="5" t="inlineStr">
        <is>
          <t>Under 50</t>
        </is>
      </c>
      <c r="K7" s="5" t="inlineStr">
        <is>
          <t>None</t>
        </is>
      </c>
      <c r="L7" s="19" t="n">
        <v>22.1</v>
      </c>
      <c r="M7" s="20" t="n">
        <v>32</v>
      </c>
      <c r="N7" s="5" t="inlineStr">
        <is>
          <t>Office</t>
        </is>
      </c>
      <c r="O7" s="5" t="inlineStr">
        <is>
          <t>Leased</t>
        </is>
      </c>
      <c r="P7" s="5" t="inlineStr">
        <is>
          <t>Residential plumbing, gas line installation, water treatment</t>
        </is>
      </c>
      <c r="Q7" s="5" t="inlineStr">
        <is>
          <t>None</t>
        </is>
      </c>
      <c r="R7" s="9" t="inlineStr">
        <is>
          <t>Gas line specialty is in high demand. Growing review count shows momentum. Distance and young owner make this a long-term watch.</t>
        </is>
      </c>
      <c r="S7" s="9" t="inlineStr">
        <is>
          <t>Monitor -- owner is under 50 and building the business</t>
        </is>
      </c>
    </row>
    <row r="8">
      <c r="A8" s="12" t="n">
        <v>10</v>
      </c>
      <c r="B8" s="12" t="inlineStr">
        <is>
          <t>Great Lakes Drain Masters</t>
        </is>
      </c>
      <c r="C8" s="12" t="inlineStr">
        <is>
          <t>Frank Deluca</t>
        </is>
      </c>
      <c r="D8" s="12" t="inlineStr">
        <is>
          <t>(586) 555-0731</t>
        </is>
      </c>
      <c r="E8" s="12" t="inlineStr">
        <is>
          <t>None</t>
        </is>
      </c>
      <c r="F8" s="16" t="inlineStr">
        <is>
          <t>$400K-$700K</t>
        </is>
      </c>
      <c r="G8" s="21" t="n">
        <v>5</v>
      </c>
      <c r="H8" s="22" t="n">
        <v>4.3</v>
      </c>
      <c r="I8" s="23" t="n">
        <v>44</v>
      </c>
      <c r="J8" s="12" t="inlineStr">
        <is>
          <t>50-59</t>
        </is>
      </c>
      <c r="K8" s="12" t="inlineStr">
        <is>
          <t>None</t>
        </is>
      </c>
      <c r="L8" s="22" t="n">
        <v>18.2</v>
      </c>
      <c r="M8" s="23" t="n">
        <v>28</v>
      </c>
      <c r="N8" s="12" t="inlineStr">
        <is>
          <t>Office</t>
        </is>
      </c>
      <c r="O8" s="12" t="inlineStr">
        <is>
          <t>Leased</t>
        </is>
      </c>
      <c r="P8" s="12" t="inlineStr">
        <is>
          <t>Residential drain cleaning, camera inspections, hydro jetting</t>
        </is>
      </c>
      <c r="Q8" s="12" t="inlineStr">
        <is>
          <t>No website -- marketing entirely via Google and Nextdoor</t>
        </is>
      </c>
      <c r="R8" s="16" t="inlineStr">
        <is>
          <t>Solid drain cleaning niche. Equipment is the real asset. Owner might sell if the price is right -- no website suggests low investment in growth.</t>
        </is>
      </c>
      <c r="S8" s="16" t="inlineStr">
        <is>
          <t>Call owner direct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26" customWidth="1" min="4" max="4"/>
    <col width="16" customWidth="1" min="5" max="5"/>
    <col width="28" customWidth="1" min="6" max="6"/>
    <col width="16" customWidth="1" min="7" max="7"/>
    <col width="6" customWidth="1" min="8" max="8"/>
    <col width="8" customWidth="1" min="9" max="9"/>
    <col width="20" customWidth="1" min="10" max="10"/>
    <col width="16" customWidth="1" min="11" max="11"/>
    <col width="22" customWidth="1" min="12" max="12"/>
    <col width="10" customWidth="1" min="13" max="13"/>
    <col width="10" customWidth="1" min="14" max="14"/>
    <col width="22" customWidth="1" min="15" max="15"/>
    <col width="12" customWidth="1" min="16" max="16"/>
    <col width="16" customWidth="1" min="17" max="17"/>
    <col width="20" customWidth="1" min="18" max="18"/>
    <col width="10" customWidth="1" min="19" max="19"/>
    <col width="12" customWidth="1" min="20" max="20"/>
    <col width="10" customWidth="1" min="21" max="21"/>
    <col width="12" customWidth="1" min="22" max="22"/>
    <col width="12" customWidth="1" min="23" max="23"/>
    <col width="16" customWidth="1" min="24" max="24"/>
    <col width="14" customWidth="1" min="25" max="25"/>
    <col width="12" customWidth="1" min="26" max="26"/>
    <col width="12" customWidth="1" min="27" max="27"/>
    <col width="10" customWidth="1" min="28" max="28"/>
    <col width="8" customWidth="1" min="29" max="29"/>
    <col width="30" customWidth="1" min="30" max="30"/>
    <col width="22" customWidth="1" min="31" max="31"/>
    <col width="40" customWidth="1" min="32" max="32"/>
    <col width="24" customWidth="1" min="33" max="33"/>
  </cols>
  <sheetData>
    <row r="1">
      <c r="A1" s="1" t="inlineStr">
        <is>
          <t>ALL TARGETS — MASTER DATA</t>
        </is>
      </c>
      <c r="AF1" s="24" t="inlineStr">
        <is>
          <t>Revenue Size</t>
        </is>
      </c>
      <c r="AG1" s="24" t="inlineStr">
        <is>
          <t>Online Reputation</t>
        </is>
      </c>
      <c r="AH1" s="24" t="inlineStr">
        <is>
          <t>Owner Succession</t>
        </is>
      </c>
      <c r="AI1" s="24" t="inlineStr">
        <is>
          <t>Geographic Fit</t>
        </is>
      </c>
      <c r="AJ1" s="24" t="inlineStr">
        <is>
          <t>Years in Business</t>
        </is>
      </c>
      <c r="AK1" s="24" t="inlineStr">
        <is>
          <t>Facility / Lease</t>
        </is>
      </c>
      <c r="AL1" s="24" t="inlineStr">
        <is>
          <t>Workforce Size</t>
        </is>
      </c>
      <c r="AM1" s="24" t="inlineStr">
        <is>
          <t>Integration Risk</t>
        </is>
      </c>
    </row>
    <row r="2">
      <c r="A2" s="2" t="inlineStr">
        <is>
          <t>10 targets screened</t>
        </is>
      </c>
      <c r="AF2" s="25" t="n">
        <v>6</v>
      </c>
      <c r="AG2" s="25" t="n">
        <v>4</v>
      </c>
      <c r="AH2" s="25" t="n">
        <v>6</v>
      </c>
      <c r="AI2" s="25" t="n">
        <v>6</v>
      </c>
      <c r="AJ2" s="25" t="n">
        <v>4</v>
      </c>
      <c r="AK2" s="25" t="n">
        <v>4</v>
      </c>
      <c r="AL2" s="25" t="n">
        <v>4</v>
      </c>
      <c r="AM2" s="25" t="n">
        <v>6</v>
      </c>
    </row>
    <row r="3">
      <c r="AF3" s="24" t="inlineStr">
        <is>
          <t>Weight (max 6)</t>
        </is>
      </c>
      <c r="AG3" s="24" t="inlineStr">
        <is>
          <t>Weight (max 6)</t>
        </is>
      </c>
      <c r="AH3" s="24" t="inlineStr">
        <is>
          <t>Weight (max 6)</t>
        </is>
      </c>
      <c r="AI3" s="24" t="inlineStr">
        <is>
          <t>Weight (max 6)</t>
        </is>
      </c>
      <c r="AJ3" s="24" t="inlineStr">
        <is>
          <t>Weight (max 6)</t>
        </is>
      </c>
      <c r="AK3" s="24" t="inlineStr">
        <is>
          <t>Weight (max 6)</t>
        </is>
      </c>
      <c r="AL3" s="24" t="inlineStr">
        <is>
          <t>Weight (max 6)</t>
        </is>
      </c>
      <c r="AM3" s="24" t="inlineStr">
        <is>
          <t>Weight (max 6)</t>
        </is>
      </c>
    </row>
    <row r="4">
      <c r="A4" s="3" t="inlineStr">
        <is>
          <t>Rank</t>
        </is>
      </c>
      <c r="B4" s="3" t="inlineStr">
        <is>
          <t>Tier</t>
        </is>
      </c>
      <c r="C4" s="3" t="inlineStr">
        <is>
          <t>Score</t>
        </is>
      </c>
      <c r="D4" s="3" t="inlineStr">
        <is>
          <t>Company Name</t>
        </is>
      </c>
      <c r="E4" s="3" t="inlineStr">
        <is>
          <t>DBA</t>
        </is>
      </c>
      <c r="F4" s="3" t="inlineStr">
        <is>
          <t>Address</t>
        </is>
      </c>
      <c r="G4" s="3" t="inlineStr">
        <is>
          <t>City</t>
        </is>
      </c>
      <c r="H4" s="3" t="inlineStr">
        <is>
          <t>State</t>
        </is>
      </c>
      <c r="I4" s="3" t="inlineStr">
        <is>
          <t>ZIP</t>
        </is>
      </c>
      <c r="J4" s="3" t="inlineStr">
        <is>
          <t>Owner(s)</t>
        </is>
      </c>
      <c r="K4" s="3" t="inlineStr">
        <is>
          <t>Phone</t>
        </is>
      </c>
      <c r="L4" s="3" t="inlineStr">
        <is>
          <t>Website</t>
        </is>
      </c>
      <c r="M4" s="3" t="inlineStr">
        <is>
          <t>Year Est.</t>
        </is>
      </c>
      <c r="N4" s="3" t="inlineStr">
        <is>
          <t>Yrs in Bus.</t>
        </is>
      </c>
      <c r="O4" s="3" t="inlineStr">
        <is>
          <t>License Types</t>
        </is>
      </c>
      <c r="P4" s="3" t="inlineStr">
        <is>
          <t>License Status</t>
        </is>
      </c>
      <c r="Q4" s="3" t="inlineStr">
        <is>
          <t>Est. Revenue</t>
        </is>
      </c>
      <c r="R4" s="3" t="inlineStr">
        <is>
          <t>Revenue Method</t>
        </is>
      </c>
      <c r="S4" s="3" t="inlineStr">
        <is>
          <t>Employees</t>
        </is>
      </c>
      <c r="T4" s="3" t="inlineStr">
        <is>
          <t>Google Rating</t>
        </is>
      </c>
      <c r="U4" s="3" t="inlineStr">
        <is>
          <t>Reviews</t>
        </is>
      </c>
      <c r="V4" s="3" t="inlineStr">
        <is>
          <t>Review Trend</t>
        </is>
      </c>
      <c r="W4" s="3" t="inlineStr">
        <is>
          <t>Owner Age</t>
        </is>
      </c>
      <c r="X4" s="3" t="inlineStr">
        <is>
          <t>Succession Signals</t>
        </is>
      </c>
      <c r="Y4" s="3" t="inlineStr">
        <is>
          <t>Facility</t>
        </is>
      </c>
      <c r="Z4" s="3" t="inlineStr">
        <is>
          <t>Owned/Leased</t>
        </is>
      </c>
      <c r="AA4" s="3" t="inlineStr">
        <is>
          <t>Distance (mi)</t>
        </is>
      </c>
      <c r="AB4" s="3" t="inlineStr">
        <is>
          <t>Drive (min)</t>
        </is>
      </c>
      <c r="AC4" s="3" t="inlineStr">
        <is>
          <t>Geo Ring</t>
        </is>
      </c>
      <c r="AD4" s="3" t="inlineStr">
        <is>
          <t>Service Lines</t>
        </is>
      </c>
      <c r="AE4" s="3" t="inlineStr">
        <is>
          <t>Red Flags</t>
        </is>
      </c>
      <c r="AF4" s="3" t="inlineStr">
        <is>
          <t>Why Buy</t>
        </is>
      </c>
      <c r="AG4" s="3" t="inlineStr">
        <is>
          <t>Approach Strategy</t>
        </is>
      </c>
      <c r="AN4" s="26" t="inlineStr">
        <is>
          <t>Revenue Size</t>
        </is>
      </c>
      <c r="AO4" s="26" t="inlineStr">
        <is>
          <t>Online Reputation</t>
        </is>
      </c>
      <c r="AP4" s="26" t="inlineStr">
        <is>
          <t>Owner Succession</t>
        </is>
      </c>
      <c r="AQ4" s="26" t="inlineStr">
        <is>
          <t>Geographic Fit</t>
        </is>
      </c>
      <c r="AR4" s="26" t="inlineStr">
        <is>
          <t>Years in Business</t>
        </is>
      </c>
      <c r="AS4" s="26" t="inlineStr">
        <is>
          <t>Facility / Lease</t>
        </is>
      </c>
      <c r="AT4" s="26" t="inlineStr">
        <is>
          <t>Workforce Size</t>
        </is>
      </c>
      <c r="AU4" s="26" t="inlineStr">
        <is>
          <t>Integration Risk</t>
        </is>
      </c>
    </row>
    <row r="5">
      <c r="A5" s="6">
        <f>RANK(C5,C5:C14)</f>
        <v/>
      </c>
      <c r="B5" s="27">
        <f>IF(C5&gt;=28,"A",IF(C5&gt;=20,"B","C"))</f>
        <v/>
      </c>
      <c r="C5" s="28">
        <f>(AN5/5)*AF$2+(AO5/5)*AG$2+(AP5/5)*AH$2+(AQ5/5)*AI$2+(AR5/5)*AJ$2+(AS5/5)*AK$2+(AT5/5)*AL$2+(AU5/5)*AM$2</f>
        <v/>
      </c>
      <c r="D5" s="5" t="inlineStr">
        <is>
          <t>Smith Plumbing &amp; Heating Inc</t>
        </is>
      </c>
      <c r="E5" s="5" t="inlineStr">
        <is>
          <t>Smith Plumbing</t>
        </is>
      </c>
      <c r="F5" s="5" t="inlineStr">
        <is>
          <t>4821 Rochester Rd</t>
        </is>
      </c>
      <c r="G5" s="5" t="inlineStr">
        <is>
          <t>Troy</t>
        </is>
      </c>
      <c r="H5" s="7" t="inlineStr">
        <is>
          <t>MI</t>
        </is>
      </c>
      <c r="I5" s="5" t="inlineStr">
        <is>
          <t>48085</t>
        </is>
      </c>
      <c r="J5" s="5" t="inlineStr">
        <is>
          <t>Robert Smith</t>
        </is>
      </c>
      <c r="K5" s="5" t="inlineStr">
        <is>
          <t>(248) 555-0142</t>
        </is>
      </c>
      <c r="L5" s="5" t="inlineStr">
        <is>
          <t>smithplumbingtroy.com</t>
        </is>
      </c>
      <c r="M5" s="29" t="n">
        <v>1988</v>
      </c>
      <c r="N5" s="6">
        <f>2026-M5</f>
        <v/>
      </c>
      <c r="O5" s="5" t="inlineStr">
        <is>
          <t>Master Plumber, Mechanical</t>
        </is>
      </c>
      <c r="P5" s="7" t="inlineStr">
        <is>
          <t>Active</t>
        </is>
      </c>
      <c r="Q5" s="30" t="inlineStr">
        <is>
          <t>$1.8M-$2.4M</t>
        </is>
      </c>
      <c r="R5" s="5" t="inlineStr">
        <is>
          <t>permit volume + employee count</t>
        </is>
      </c>
      <c r="S5" s="29" t="n">
        <v>14</v>
      </c>
      <c r="T5" s="31" t="n">
        <v>4.8</v>
      </c>
      <c r="U5" s="29" t="n">
        <v>187</v>
      </c>
      <c r="V5" s="7" t="inlineStr">
        <is>
          <t>Stable</t>
        </is>
      </c>
      <c r="W5" s="32" t="inlineStr">
        <is>
          <t>60-69</t>
        </is>
      </c>
      <c r="X5" s="32" t="inlineStr">
        <is>
          <t>Likely</t>
        </is>
      </c>
      <c r="Y5" s="5" t="inlineStr">
        <is>
          <t>Shop with yard</t>
        </is>
      </c>
      <c r="Z5" s="7" t="inlineStr">
        <is>
          <t>Owned</t>
        </is>
      </c>
      <c r="AA5" s="31" t="n">
        <v>3.2</v>
      </c>
      <c r="AB5" s="29" t="n">
        <v>8</v>
      </c>
      <c r="AC5" s="29" t="n">
        <v>1</v>
      </c>
      <c r="AD5" s="5" t="inlineStr">
        <is>
          <t>Residential plumbing, commercial plumbing, hydronic heating, water heaters</t>
        </is>
      </c>
      <c r="AE5" s="5" t="inlineStr">
        <is>
          <t>None</t>
        </is>
      </c>
      <c r="AF5" s="9" t="inlineStr">
        <is>
          <t>Strong reputation, owner approaching retirement with no succession plan. 3 miles from HQ -- immediate bolt-on with shared customers.</t>
        </is>
      </c>
      <c r="AG5" s="9" t="inlineStr">
        <is>
          <t>Call owner direct -- known in local trade association</t>
        </is>
      </c>
      <c r="AN5" s="33" t="n">
        <v>5</v>
      </c>
      <c r="AO5" s="33" t="n">
        <v>5</v>
      </c>
      <c r="AP5" s="33" t="n">
        <v>5</v>
      </c>
      <c r="AQ5" s="33" t="n">
        <v>5</v>
      </c>
      <c r="AR5" s="33" t="n">
        <v>5</v>
      </c>
      <c r="AS5" s="33" t="n">
        <v>5</v>
      </c>
      <c r="AT5" s="33" t="n">
        <v>5</v>
      </c>
      <c r="AU5" s="33" t="n">
        <v>5</v>
      </c>
    </row>
    <row r="6">
      <c r="A6" s="13">
        <f>RANK(C6,C5:C14)</f>
        <v/>
      </c>
      <c r="B6" s="34">
        <f>IF(C6&gt;=28,"A",IF(C6&gt;=20,"B","C"))</f>
        <v/>
      </c>
      <c r="C6" s="35">
        <f>(AN6/5)*AF$2+(AO6/5)*AG$2+(AP6/5)*AH$2+(AQ6/5)*AI$2+(AR6/5)*AJ$2+(AS6/5)*AK$2+(AT6/5)*AL$2+(AU6/5)*AM$2</f>
        <v/>
      </c>
      <c r="D6" s="12" t="inlineStr">
        <is>
          <t>Oakland Plumbing &amp; Fire Protection</t>
        </is>
      </c>
      <c r="E6" s="12" t="inlineStr"/>
      <c r="F6" s="12" t="inlineStr">
        <is>
          <t>3300 Auburn Rd</t>
        </is>
      </c>
      <c r="G6" s="12" t="inlineStr">
        <is>
          <t>Auburn Hills</t>
        </is>
      </c>
      <c r="H6" s="14" t="inlineStr">
        <is>
          <t>MI</t>
        </is>
      </c>
      <c r="I6" s="12" t="inlineStr">
        <is>
          <t>48326</t>
        </is>
      </c>
      <c r="J6" s="12" t="inlineStr">
        <is>
          <t>Thomas Brennan</t>
        </is>
      </c>
      <c r="K6" s="12" t="inlineStr">
        <is>
          <t>(248) 555-0519</t>
        </is>
      </c>
      <c r="L6" s="12" t="inlineStr">
        <is>
          <t>oaklandplumbingfp.com</t>
        </is>
      </c>
      <c r="M6" s="36" t="n">
        <v>1992</v>
      </c>
      <c r="N6" s="13">
        <f>2026-M6</f>
        <v/>
      </c>
      <c r="O6" s="12" t="inlineStr">
        <is>
          <t>Master Plumber, Fire Protection</t>
        </is>
      </c>
      <c r="P6" s="14" t="inlineStr">
        <is>
          <t>Active</t>
        </is>
      </c>
      <c r="Q6" s="37" t="inlineStr">
        <is>
          <t>$1.5M-$2.2M</t>
        </is>
      </c>
      <c r="R6" s="12" t="inlineStr">
        <is>
          <t>employee count + industry avg</t>
        </is>
      </c>
      <c r="S6" s="36" t="n">
        <v>12</v>
      </c>
      <c r="T6" s="38" t="n">
        <v>4.4</v>
      </c>
      <c r="U6" s="36" t="n">
        <v>67</v>
      </c>
      <c r="V6" s="14" t="inlineStr">
        <is>
          <t>Stable</t>
        </is>
      </c>
      <c r="W6" s="39" t="inlineStr">
        <is>
          <t>60-69</t>
        </is>
      </c>
      <c r="X6" s="39" t="inlineStr">
        <is>
          <t>Likely</t>
        </is>
      </c>
      <c r="Y6" s="12" t="inlineStr">
        <is>
          <t>Shop with yard</t>
        </is>
      </c>
      <c r="Z6" s="14" t="inlineStr">
        <is>
          <t>Owned</t>
        </is>
      </c>
      <c r="AA6" s="38" t="n">
        <v>6.8</v>
      </c>
      <c r="AB6" s="36" t="n">
        <v>14</v>
      </c>
      <c r="AC6" s="36" t="n">
        <v>1</v>
      </c>
      <c r="AD6" s="12" t="inlineStr">
        <is>
          <t>Commercial plumbing, fire sprinkler, backflow testing, tenant improvements</t>
        </is>
      </c>
      <c r="AE6" s="12" t="inlineStr">
        <is>
          <t>1 OSHA non-serious citation (2024, resolved)</t>
        </is>
      </c>
      <c r="AF6" s="16" t="inlineStr">
        <is>
          <t>Fire protection license is hard to get -- adds a whole new revenue stream. Owner is 64 with declining permit volume. Real estate included.</t>
        </is>
      </c>
      <c r="AG6" s="16" t="inlineStr">
        <is>
          <t>Call owner direct -- met at Oakland County Contractors lunch</t>
        </is>
      </c>
      <c r="AN6" s="33" t="n">
        <v>5</v>
      </c>
      <c r="AO6" s="33" t="n">
        <v>4</v>
      </c>
      <c r="AP6" s="33" t="n">
        <v>5</v>
      </c>
      <c r="AQ6" s="33" t="n">
        <v>5</v>
      </c>
      <c r="AR6" s="33" t="n">
        <v>5</v>
      </c>
      <c r="AS6" s="33" t="n">
        <v>5</v>
      </c>
      <c r="AT6" s="33" t="n">
        <v>4</v>
      </c>
      <c r="AU6" s="33" t="n">
        <v>4</v>
      </c>
    </row>
    <row r="7">
      <c r="A7" s="6">
        <f>RANK(C7,C5:C14)</f>
        <v/>
      </c>
      <c r="B7" s="27">
        <f>IF(C7&gt;=28,"A",IF(C7&gt;=20,"B","C"))</f>
        <v/>
      </c>
      <c r="C7" s="28">
        <f>(AN7/5)*AF$2+(AO7/5)*AG$2+(AP7/5)*AH$2+(AQ7/5)*AI$2+(AR7/5)*AJ$2+(AS7/5)*AK$2+(AT7/5)*AL$2+(AU7/5)*AM$2</f>
        <v/>
      </c>
      <c r="D7" s="5" t="inlineStr">
        <is>
          <t>Midwest Mechanical Services LLC</t>
        </is>
      </c>
      <c r="E7" s="5" t="inlineStr"/>
      <c r="F7" s="5" t="inlineStr">
        <is>
          <t>7200 Orchard Lake Rd</t>
        </is>
      </c>
      <c r="G7" s="5" t="inlineStr">
        <is>
          <t>West Bloomfield</t>
        </is>
      </c>
      <c r="H7" s="7" t="inlineStr">
        <is>
          <t>MI</t>
        </is>
      </c>
      <c r="I7" s="5" t="inlineStr">
        <is>
          <t>48322</t>
        </is>
      </c>
      <c r="J7" s="5" t="inlineStr">
        <is>
          <t>James and Patricia Kowalski</t>
        </is>
      </c>
      <c r="K7" s="5" t="inlineStr">
        <is>
          <t>(248) 555-0267</t>
        </is>
      </c>
      <c r="L7" s="5" t="inlineStr">
        <is>
          <t>midwestmechanical.com</t>
        </is>
      </c>
      <c r="M7" s="29" t="n">
        <v>1995</v>
      </c>
      <c r="N7" s="6">
        <f>2026-M7</f>
        <v/>
      </c>
      <c r="O7" s="5" t="inlineStr">
        <is>
          <t>Master Plumber, HVAC, Mechanical</t>
        </is>
      </c>
      <c r="P7" s="7" t="inlineStr">
        <is>
          <t>Active</t>
        </is>
      </c>
      <c r="Q7" s="30" t="inlineStr">
        <is>
          <t>$2.0M-$3.0M</t>
        </is>
      </c>
      <c r="R7" s="5" t="inlineStr">
        <is>
          <t>permit volume + employee count</t>
        </is>
      </c>
      <c r="S7" s="29" t="n">
        <v>18</v>
      </c>
      <c r="T7" s="31" t="n">
        <v>4.6</v>
      </c>
      <c r="U7" s="29" t="n">
        <v>142</v>
      </c>
      <c r="V7" s="7" t="inlineStr">
        <is>
          <t>Growing</t>
        </is>
      </c>
      <c r="W7" s="32" t="inlineStr">
        <is>
          <t>60-69</t>
        </is>
      </c>
      <c r="X7" s="32" t="inlineStr">
        <is>
          <t>Possible</t>
        </is>
      </c>
      <c r="Y7" s="5" t="inlineStr">
        <is>
          <t>Warehouse with office</t>
        </is>
      </c>
      <c r="Z7" s="7" t="inlineStr">
        <is>
          <t>Leased</t>
        </is>
      </c>
      <c r="AA7" s="31" t="n">
        <v>8.5</v>
      </c>
      <c r="AB7" s="29" t="n">
        <v>18</v>
      </c>
      <c r="AC7" s="29" t="n">
        <v>1</v>
      </c>
      <c r="AD7" s="5" t="inlineStr">
        <is>
          <t>Commercial HVAC, plumbing, mechanical, service agreements</t>
        </is>
      </c>
      <c r="AE7" s="5" t="inlineStr">
        <is>
          <t>None</t>
        </is>
      </c>
      <c r="AF7" s="9" t="inlineStr">
        <is>
          <t>Diversified service lines add HVAC capability. Strong commercial book of business. Owners are early 60s, both working -- may be ready to step back.</t>
        </is>
      </c>
      <c r="AG7" s="9" t="inlineStr">
        <is>
          <t>Ask through mutual contact at MPC supply house</t>
        </is>
      </c>
      <c r="AN7" s="33" t="n">
        <v>5</v>
      </c>
      <c r="AO7" s="33" t="n">
        <v>5</v>
      </c>
      <c r="AP7" s="33" t="n">
        <v>4</v>
      </c>
      <c r="AQ7" s="33" t="n">
        <v>5</v>
      </c>
      <c r="AR7" s="33" t="n">
        <v>5</v>
      </c>
      <c r="AS7" s="33" t="n">
        <v>3</v>
      </c>
      <c r="AT7" s="33" t="n">
        <v>5</v>
      </c>
      <c r="AU7" s="33" t="n">
        <v>4</v>
      </c>
    </row>
    <row r="8">
      <c r="A8" s="13">
        <f>RANK(C8,C5:C14)</f>
        <v/>
      </c>
      <c r="B8" s="34">
        <f>IF(C8&gt;=28,"A",IF(C8&gt;=20,"B","C"))</f>
        <v/>
      </c>
      <c r="C8" s="35">
        <f>(AN8/5)*AF$2+(AO8/5)*AG$2+(AP8/5)*AH$2+(AQ8/5)*AI$2+(AR8/5)*AJ$2+(AS8/5)*AK$2+(AT8/5)*AL$2+(AU8/5)*AM$2</f>
        <v/>
      </c>
      <c r="D8" s="12" t="inlineStr">
        <is>
          <t>Tri-County Mechanical Contractors</t>
        </is>
      </c>
      <c r="E8" s="12" t="inlineStr"/>
      <c r="F8" s="12" t="inlineStr">
        <is>
          <t>31000 Northwestern Hwy</t>
        </is>
      </c>
      <c r="G8" s="12" t="inlineStr">
        <is>
          <t>Farmington Hills</t>
        </is>
      </c>
      <c r="H8" s="14" t="inlineStr">
        <is>
          <t>MI</t>
        </is>
      </c>
      <c r="I8" s="12" t="inlineStr">
        <is>
          <t>48334</t>
        </is>
      </c>
      <c r="J8" s="12" t="inlineStr">
        <is>
          <t>Richard and Carol Hensley</t>
        </is>
      </c>
      <c r="K8" s="12" t="inlineStr">
        <is>
          <t>(248) 555-1299</t>
        </is>
      </c>
      <c r="L8" s="12" t="inlineStr">
        <is>
          <t>tricountymechanical.com</t>
        </is>
      </c>
      <c r="M8" s="36" t="n">
        <v>1991</v>
      </c>
      <c r="N8" s="13">
        <f>2026-M8</f>
        <v/>
      </c>
      <c r="O8" s="12" t="inlineStr">
        <is>
          <t>Master Plumber, HVAC, Mechanical, Boiler</t>
        </is>
      </c>
      <c r="P8" s="14" t="inlineStr">
        <is>
          <t>Active</t>
        </is>
      </c>
      <c r="Q8" s="37" t="inlineStr">
        <is>
          <t>$3.0M-$4.5M</t>
        </is>
      </c>
      <c r="R8" s="12" t="inlineStr">
        <is>
          <t>permit volume + employee count</t>
        </is>
      </c>
      <c r="S8" s="36" t="n">
        <v>28</v>
      </c>
      <c r="T8" s="38" t="n">
        <v>4.3</v>
      </c>
      <c r="U8" s="36" t="n">
        <v>89</v>
      </c>
      <c r="V8" s="14" t="inlineStr">
        <is>
          <t>Stable</t>
        </is>
      </c>
      <c r="W8" s="39" t="inlineStr">
        <is>
          <t>60-69</t>
        </is>
      </c>
      <c r="X8" s="39" t="inlineStr">
        <is>
          <t>Possible</t>
        </is>
      </c>
      <c r="Y8" s="12" t="inlineStr">
        <is>
          <t>Warehouse with yard</t>
        </is>
      </c>
      <c r="Z8" s="14" t="inlineStr">
        <is>
          <t>Owned</t>
        </is>
      </c>
      <c r="AA8" s="38" t="n">
        <v>9.4</v>
      </c>
      <c r="AB8" s="36" t="n">
        <v>17</v>
      </c>
      <c r="AC8" s="36" t="n">
        <v>1</v>
      </c>
      <c r="AD8" s="12" t="inlineStr">
        <is>
          <t>Commercial HVAC, plumbing, mechanical piping, design-build, service contracts</t>
        </is>
      </c>
      <c r="AE8" s="12" t="inlineStr">
        <is>
          <t>2 OSHA non-serious citations (2023, both resolved)</t>
        </is>
      </c>
      <c r="AF8" s="16" t="inlineStr">
        <is>
          <t>Largest target on the list. Full mechanical contractor with HVAC, plumbing, and design-build. Would be transformative but complex integration. Owners in early 60s.</t>
        </is>
      </c>
      <c r="AG8" s="16" t="inlineStr">
        <is>
          <t>Ask through mutual contact -- their estimator used to work for Acme</t>
        </is>
      </c>
      <c r="AN8" s="33" t="n">
        <v>5</v>
      </c>
      <c r="AO8" s="33" t="n">
        <v>3</v>
      </c>
      <c r="AP8" s="33" t="n">
        <v>4</v>
      </c>
      <c r="AQ8" s="33" t="n">
        <v>5</v>
      </c>
      <c r="AR8" s="33" t="n">
        <v>5</v>
      </c>
      <c r="AS8" s="33" t="n">
        <v>5</v>
      </c>
      <c r="AT8" s="33" t="n">
        <v>5</v>
      </c>
      <c r="AU8" s="33" t="n">
        <v>2</v>
      </c>
    </row>
    <row r="9">
      <c r="A9" s="6">
        <f>RANK(C9,C5:C14)</f>
        <v/>
      </c>
      <c r="B9" s="27">
        <f>IF(C9&gt;=28,"A",IF(C9&gt;=20,"B","C"))</f>
        <v/>
      </c>
      <c r="C9" s="28">
        <f>(AN9/5)*AF$2+(AO9/5)*AG$2+(AP9/5)*AH$2+(AQ9/5)*AI$2+(AR9/5)*AJ$2+(AS9/5)*AK$2+(AT9/5)*AL$2+(AU9/5)*AM$2</f>
        <v/>
      </c>
      <c r="D9" s="5" t="inlineStr">
        <is>
          <t>Heritage Plumbing &amp; Radiant LLC</t>
        </is>
      </c>
      <c r="E9" s="5" t="inlineStr"/>
      <c r="F9" s="5" t="inlineStr">
        <is>
          <t>1550 S Milford Rd</t>
        </is>
      </c>
      <c r="G9" s="5" t="inlineStr">
        <is>
          <t>Highland</t>
        </is>
      </c>
      <c r="H9" s="7" t="inlineStr">
        <is>
          <t>MI</t>
        </is>
      </c>
      <c r="I9" s="5" t="inlineStr">
        <is>
          <t>48357</t>
        </is>
      </c>
      <c r="J9" s="5" t="inlineStr">
        <is>
          <t>William Crawford</t>
        </is>
      </c>
      <c r="K9" s="5" t="inlineStr">
        <is>
          <t>(248) 555-0888</t>
        </is>
      </c>
      <c r="L9" s="5" t="inlineStr">
        <is>
          <t>heritageplumbingmi.com</t>
        </is>
      </c>
      <c r="M9" s="29" t="n">
        <v>1985</v>
      </c>
      <c r="N9" s="6">
        <f>2026-M9</f>
        <v/>
      </c>
      <c r="O9" s="5" t="inlineStr">
        <is>
          <t>Master Plumber, Mechanical, Boiler</t>
        </is>
      </c>
      <c r="P9" s="7" t="inlineStr">
        <is>
          <t>Active</t>
        </is>
      </c>
      <c r="Q9" s="30" t="inlineStr">
        <is>
          <t>$900K-$1.4M</t>
        </is>
      </c>
      <c r="R9" s="5" t="inlineStr">
        <is>
          <t>permit volume</t>
        </is>
      </c>
      <c r="S9" s="29" t="n">
        <v>8</v>
      </c>
      <c r="T9" s="31" t="n">
        <v>4.9</v>
      </c>
      <c r="U9" s="29" t="n">
        <v>203</v>
      </c>
      <c r="V9" s="7" t="inlineStr">
        <is>
          <t>Growing</t>
        </is>
      </c>
      <c r="W9" s="32" t="inlineStr">
        <is>
          <t>70+</t>
        </is>
      </c>
      <c r="X9" s="32" t="inlineStr">
        <is>
          <t>Active exit</t>
        </is>
      </c>
      <c r="Y9" s="5" t="inlineStr">
        <is>
          <t>Shop</t>
        </is>
      </c>
      <c r="Z9" s="7" t="inlineStr">
        <is>
          <t>Owned</t>
        </is>
      </c>
      <c r="AA9" s="31" t="n">
        <v>28.5</v>
      </c>
      <c r="AB9" s="29" t="n">
        <v>38</v>
      </c>
      <c r="AC9" s="29" t="n">
        <v>3</v>
      </c>
      <c r="AD9" s="5" t="inlineStr">
        <is>
          <t>Radiant heating, boiler service, residential plumbing, well pumps</t>
        </is>
      </c>
      <c r="AE9" s="5" t="inlineStr">
        <is>
          <t>None</t>
        </is>
      </c>
      <c r="AF9" s="9" t="inlineStr">
        <is>
          <t>Owner is 72 and actively looking to sell. Best Google rating in the dataset. Radiant/boiler specialty is rare and high-margin. Distance is a concern.</t>
        </is>
      </c>
      <c r="AG9" s="9" t="inlineStr">
        <is>
          <t>Through broker -- owner has quietly engaged a local intermediary</t>
        </is>
      </c>
      <c r="AN9" s="33" t="n">
        <v>4</v>
      </c>
      <c r="AO9" s="33" t="n">
        <v>5</v>
      </c>
      <c r="AP9" s="33" t="n">
        <v>5</v>
      </c>
      <c r="AQ9" s="33" t="n">
        <v>2</v>
      </c>
      <c r="AR9" s="33" t="n">
        <v>5</v>
      </c>
      <c r="AS9" s="33" t="n">
        <v>5</v>
      </c>
      <c r="AT9" s="33" t="n">
        <v>4</v>
      </c>
      <c r="AU9" s="33" t="n">
        <v>3</v>
      </c>
    </row>
    <row r="10">
      <c r="A10" s="13">
        <f>RANK(C10,C5:C14)</f>
        <v/>
      </c>
      <c r="B10" s="34">
        <f>IF(C10&gt;=28,"A",IF(C10&gt;=20,"B","C"))</f>
        <v/>
      </c>
      <c r="C10" s="35">
        <f>(AN10/5)*AF$2+(AO10/5)*AG$2+(AP10/5)*AH$2+(AQ10/5)*AI$2+(AR10/5)*AJ$2+(AS10/5)*AK$2+(AT10/5)*AL$2+(AU10/5)*AM$2</f>
        <v/>
      </c>
      <c r="D10" s="12" t="inlineStr">
        <is>
          <t>Precision Pipe &amp; Drain Co</t>
        </is>
      </c>
      <c r="E10" s="12" t="inlineStr">
        <is>
          <t>Precision Plumbing</t>
        </is>
      </c>
      <c r="F10" s="12" t="inlineStr">
        <is>
          <t>12450 E 12 Mile Rd</t>
        </is>
      </c>
      <c r="G10" s="12" t="inlineStr">
        <is>
          <t>Warren</t>
        </is>
      </c>
      <c r="H10" s="14" t="inlineStr">
        <is>
          <t>MI</t>
        </is>
      </c>
      <c r="I10" s="12" t="inlineStr">
        <is>
          <t>48088</t>
        </is>
      </c>
      <c r="J10" s="12" t="inlineStr">
        <is>
          <t>David Nguyen</t>
        </is>
      </c>
      <c r="K10" s="12" t="inlineStr">
        <is>
          <t>(586) 555-0384</t>
        </is>
      </c>
      <c r="L10" s="12" t="inlineStr">
        <is>
          <t>precisionpipedrain.com</t>
        </is>
      </c>
      <c r="M10" s="36" t="n">
        <v>2001</v>
      </c>
      <c r="N10" s="13">
        <f>2026-M10</f>
        <v/>
      </c>
      <c r="O10" s="12" t="inlineStr">
        <is>
          <t>Master Plumber, Drain Cleaning</t>
        </is>
      </c>
      <c r="P10" s="14" t="inlineStr">
        <is>
          <t>Active</t>
        </is>
      </c>
      <c r="Q10" s="37" t="inlineStr">
        <is>
          <t>$1.2M-$1.8M</t>
        </is>
      </c>
      <c r="R10" s="12" t="inlineStr">
        <is>
          <t>permit volume</t>
        </is>
      </c>
      <c r="S10" s="36" t="n">
        <v>10</v>
      </c>
      <c r="T10" s="38" t="n">
        <v>4.7</v>
      </c>
      <c r="U10" s="36" t="n">
        <v>98</v>
      </c>
      <c r="V10" s="14" t="inlineStr">
        <is>
          <t>Growing</t>
        </is>
      </c>
      <c r="W10" s="39" t="inlineStr">
        <is>
          <t>50-59</t>
        </is>
      </c>
      <c r="X10" s="39" t="inlineStr">
        <is>
          <t>None</t>
        </is>
      </c>
      <c r="Y10" s="12" t="inlineStr">
        <is>
          <t>Shop</t>
        </is>
      </c>
      <c r="Z10" s="14" t="inlineStr">
        <is>
          <t>Leased</t>
        </is>
      </c>
      <c r="AA10" s="38" t="n">
        <v>12.4</v>
      </c>
      <c r="AB10" s="36" t="n">
        <v>22</v>
      </c>
      <c r="AC10" s="36" t="n">
        <v>2</v>
      </c>
      <c r="AD10" s="12" t="inlineStr">
        <is>
          <t>Drain cleaning, sewer repair, residential plumbing, water line replacement</t>
        </is>
      </c>
      <c r="AE10" s="12" t="inlineStr">
        <is>
          <t>None</t>
        </is>
      </c>
      <c r="AF10" s="16" t="inlineStr">
        <is>
          <t>Drain/sewer specialty complements general plumbing. Good online presence, growing reviews. Owner not yet 60 but could be ready in 2-3 years.</t>
        </is>
      </c>
      <c r="AG10" s="16" t="inlineStr">
        <is>
          <t>Call owner direct</t>
        </is>
      </c>
      <c r="AN10" s="33" t="n">
        <v>4</v>
      </c>
      <c r="AO10" s="33" t="n">
        <v>5</v>
      </c>
      <c r="AP10" s="33" t="n">
        <v>3</v>
      </c>
      <c r="AQ10" s="33" t="n">
        <v>4</v>
      </c>
      <c r="AR10" s="33" t="n">
        <v>4</v>
      </c>
      <c r="AS10" s="33" t="n">
        <v>3</v>
      </c>
      <c r="AT10" s="33" t="n">
        <v>4</v>
      </c>
      <c r="AU10" s="33" t="n">
        <v>4</v>
      </c>
    </row>
    <row r="11">
      <c r="A11" s="6">
        <f>RANK(C11,C5:C14)</f>
        <v/>
      </c>
      <c r="B11" s="27">
        <f>IF(C11&gt;=28,"A",IF(C11&gt;=20,"B","C"))</f>
        <v/>
      </c>
      <c r="C11" s="28">
        <f>(AN11/5)*AF$2+(AO11/5)*AG$2+(AP11/5)*AH$2+(AQ11/5)*AI$2+(AR11/5)*AJ$2+(AS11/5)*AK$2+(AT11/5)*AL$2+(AU11/5)*AM$2</f>
        <v/>
      </c>
      <c r="D11" s="5" t="inlineStr">
        <is>
          <t>Motor City Plumbing Inc</t>
        </is>
      </c>
      <c r="E11" s="5" t="inlineStr"/>
      <c r="F11" s="5" t="inlineStr">
        <is>
          <t>22100 Greenfield Rd</t>
        </is>
      </c>
      <c r="G11" s="5" t="inlineStr">
        <is>
          <t>Southfield</t>
        </is>
      </c>
      <c r="H11" s="7" t="inlineStr">
        <is>
          <t>MI</t>
        </is>
      </c>
      <c r="I11" s="5" t="inlineStr">
        <is>
          <t>48075</t>
        </is>
      </c>
      <c r="J11" s="5" t="inlineStr">
        <is>
          <t>Marcus and Denise Williams</t>
        </is>
      </c>
      <c r="K11" s="5" t="inlineStr">
        <is>
          <t>(248) 555-0955</t>
        </is>
      </c>
      <c r="L11" s="5" t="inlineStr">
        <is>
          <t>motorcityplumbing.com</t>
        </is>
      </c>
      <c r="M11" s="29" t="n">
        <v>2003</v>
      </c>
      <c r="N11" s="6">
        <f>2026-M11</f>
        <v/>
      </c>
      <c r="O11" s="5" t="inlineStr">
        <is>
          <t>Master Plumber</t>
        </is>
      </c>
      <c r="P11" s="7" t="inlineStr">
        <is>
          <t>Active</t>
        </is>
      </c>
      <c r="Q11" s="30" t="inlineStr">
        <is>
          <t>$1.0M-$1.5M</t>
        </is>
      </c>
      <c r="R11" s="5" t="inlineStr">
        <is>
          <t>permit volume + employee count</t>
        </is>
      </c>
      <c r="S11" s="29" t="n">
        <v>9</v>
      </c>
      <c r="T11" s="31" t="n">
        <v>4.5</v>
      </c>
      <c r="U11" s="29" t="n">
        <v>112</v>
      </c>
      <c r="V11" s="7" t="inlineStr">
        <is>
          <t>Stable</t>
        </is>
      </c>
      <c r="W11" s="32" t="inlineStr">
        <is>
          <t>50-59</t>
        </is>
      </c>
      <c r="X11" s="32" t="inlineStr">
        <is>
          <t>None</t>
        </is>
      </c>
      <c r="Y11" s="5" t="inlineStr">
        <is>
          <t>Warehouse</t>
        </is>
      </c>
      <c r="Z11" s="7" t="inlineStr">
        <is>
          <t>Leased</t>
        </is>
      </c>
      <c r="AA11" s="31" t="n">
        <v>10.1</v>
      </c>
      <c r="AB11" s="29" t="n">
        <v>20</v>
      </c>
      <c r="AC11" s="29" t="n">
        <v>2</v>
      </c>
      <c r="AD11" s="5" t="inlineStr">
        <is>
          <t>Residential plumbing, new construction, remodel</t>
        </is>
      </c>
      <c r="AE11" s="5" t="inlineStr">
        <is>
          <t>None</t>
        </is>
      </c>
      <c r="AF11" s="9" t="inlineStr">
        <is>
          <t>Good residential new construction pipeline. Husband-wife team, could stay on post-acquisition. Just outside Ring 1 but an easy drive.</t>
        </is>
      </c>
      <c r="AG11" s="9" t="inlineStr">
        <is>
          <t>Ask through mutual contact at Home Builders Association</t>
        </is>
      </c>
      <c r="AN11" s="33" t="n">
        <v>4</v>
      </c>
      <c r="AO11" s="33" t="n">
        <v>4</v>
      </c>
      <c r="AP11" s="33" t="n">
        <v>2</v>
      </c>
      <c r="AQ11" s="33" t="n">
        <v>3</v>
      </c>
      <c r="AR11" s="33" t="n">
        <v>4</v>
      </c>
      <c r="AS11" s="33" t="n">
        <v>3</v>
      </c>
      <c r="AT11" s="33" t="n">
        <v>4</v>
      </c>
      <c r="AU11" s="33" t="n">
        <v>4</v>
      </c>
    </row>
    <row r="12">
      <c r="A12" s="13">
        <f>RANK(C12,C5:C14)</f>
        <v/>
      </c>
      <c r="B12" s="34">
        <f>IF(C12&gt;=28,"A",IF(C12&gt;=20,"B","C"))</f>
        <v/>
      </c>
      <c r="C12" s="35">
        <f>(AN12/5)*AF$2+(AO12/5)*AG$2+(AP12/5)*AH$2+(AQ12/5)*AI$2+(AR12/5)*AJ$2+(AS12/5)*AK$2+(AT12/5)*AL$2+(AU12/5)*AM$2</f>
        <v/>
      </c>
      <c r="D12" s="12" t="inlineStr">
        <is>
          <t>Lakeside Plumbing Solutions</t>
        </is>
      </c>
      <c r="E12" s="12" t="inlineStr"/>
      <c r="F12" s="12" t="inlineStr">
        <is>
          <t>6700 Cooley Lake Rd</t>
        </is>
      </c>
      <c r="G12" s="12" t="inlineStr">
        <is>
          <t>Waterford</t>
        </is>
      </c>
      <c r="H12" s="14" t="inlineStr">
        <is>
          <t>MI</t>
        </is>
      </c>
      <c r="I12" s="12" t="inlineStr">
        <is>
          <t>48327</t>
        </is>
      </c>
      <c r="J12" s="12" t="inlineStr">
        <is>
          <t>Gary Peterson</t>
        </is>
      </c>
      <c r="K12" s="12" t="inlineStr">
        <is>
          <t>(248) 555-1023</t>
        </is>
      </c>
      <c r="L12" s="12" t="inlineStr">
        <is>
          <t>lakesideplumbingsolutions.com</t>
        </is>
      </c>
      <c r="M12" s="36" t="n">
        <v>1998</v>
      </c>
      <c r="N12" s="13">
        <f>2026-M12</f>
        <v/>
      </c>
      <c r="O12" s="12" t="inlineStr">
        <is>
          <t>Master Plumber</t>
        </is>
      </c>
      <c r="P12" s="14" t="inlineStr">
        <is>
          <t>Active</t>
        </is>
      </c>
      <c r="Q12" s="37" t="inlineStr">
        <is>
          <t>$700K-$1.0M</t>
        </is>
      </c>
      <c r="R12" s="12" t="inlineStr">
        <is>
          <t>employee count</t>
        </is>
      </c>
      <c r="S12" s="36" t="n">
        <v>6</v>
      </c>
      <c r="T12" s="38" t="n">
        <v>4.2</v>
      </c>
      <c r="U12" s="36" t="n">
        <v>38</v>
      </c>
      <c r="V12" s="14" t="inlineStr">
        <is>
          <t>Declining</t>
        </is>
      </c>
      <c r="W12" s="39" t="inlineStr">
        <is>
          <t>60-69</t>
        </is>
      </c>
      <c r="X12" s="39" t="inlineStr">
        <is>
          <t>Possible</t>
        </is>
      </c>
      <c r="Y12" s="12" t="inlineStr">
        <is>
          <t>Shop</t>
        </is>
      </c>
      <c r="Z12" s="14" t="inlineStr">
        <is>
          <t>Leased</t>
        </is>
      </c>
      <c r="AA12" s="38" t="n">
        <v>14.8</v>
      </c>
      <c r="AB12" s="36" t="n">
        <v>25</v>
      </c>
      <c r="AC12" s="36" t="n">
        <v>2</v>
      </c>
      <c r="AD12" s="12" t="inlineStr">
        <is>
          <t>Residential service, water heaters, sump pumps</t>
        </is>
      </c>
      <c r="AE12" s="12" t="inlineStr">
        <is>
          <t>Declining Google reviews -- 2 recent 1-star reviews mentioning scheduling issues</t>
        </is>
      </c>
      <c r="AF12" s="16" t="inlineStr">
        <is>
          <t>Declining reviews suggest possible burnout or staffing issues. Owner may be motivated to sell. Service territory fills a geographic gap to the northwest.</t>
        </is>
      </c>
      <c r="AG12" s="16" t="inlineStr">
        <is>
          <t>Call owner direct</t>
        </is>
      </c>
      <c r="AN12" s="33" t="n">
        <v>3</v>
      </c>
      <c r="AO12" s="33" t="n">
        <v>3</v>
      </c>
      <c r="AP12" s="33" t="n">
        <v>4</v>
      </c>
      <c r="AQ12" s="33" t="n">
        <v>3</v>
      </c>
      <c r="AR12" s="33" t="n">
        <v>4</v>
      </c>
      <c r="AS12" s="33" t="n">
        <v>3</v>
      </c>
      <c r="AT12" s="33" t="n">
        <v>3</v>
      </c>
      <c r="AU12" s="33" t="n">
        <v>3</v>
      </c>
    </row>
    <row r="13">
      <c r="A13" s="6">
        <f>RANK(C13,C5:C14)</f>
        <v/>
      </c>
      <c r="B13" s="27">
        <f>IF(C13&gt;=28,"A",IF(C13&gt;=20,"B","C"))</f>
        <v/>
      </c>
      <c r="C13" s="28">
        <f>(AN13/5)*AF$2+(AO13/5)*AG$2+(AP13/5)*AH$2+(AQ13/5)*AI$2+(AR13/5)*AJ$2+(AS13/5)*AK$2+(AT13/5)*AL$2+(AU13/5)*AM$2</f>
        <v/>
      </c>
      <c r="D13" s="5" t="inlineStr">
        <is>
          <t>Reliable Plumbing of Macomb</t>
        </is>
      </c>
      <c r="E13" s="5" t="inlineStr">
        <is>
          <t>Reliable Plumbing</t>
        </is>
      </c>
      <c r="F13" s="5" t="inlineStr">
        <is>
          <t>45200 Garfield Rd</t>
        </is>
      </c>
      <c r="G13" s="5" t="inlineStr">
        <is>
          <t>Clinton Township</t>
        </is>
      </c>
      <c r="H13" s="7" t="inlineStr">
        <is>
          <t>MI</t>
        </is>
      </c>
      <c r="I13" s="5" t="inlineStr">
        <is>
          <t>48038</t>
        </is>
      </c>
      <c r="J13" s="5" t="inlineStr">
        <is>
          <t>Anthony Russo</t>
        </is>
      </c>
      <c r="K13" s="5" t="inlineStr">
        <is>
          <t>(586) 555-1144</t>
        </is>
      </c>
      <c r="L13" s="5" t="inlineStr">
        <is>
          <t>reliableplumbingmacomb.com</t>
        </is>
      </c>
      <c r="M13" s="29" t="n">
        <v>2010</v>
      </c>
      <c r="N13" s="6">
        <f>2026-M13</f>
        <v/>
      </c>
      <c r="O13" s="5" t="inlineStr">
        <is>
          <t>Master Plumber, Gasfitter</t>
        </is>
      </c>
      <c r="P13" s="7" t="inlineStr">
        <is>
          <t>Active</t>
        </is>
      </c>
      <c r="Q13" s="30" t="inlineStr">
        <is>
          <t>$600K-$900K</t>
        </is>
      </c>
      <c r="R13" s="5" t="inlineStr">
        <is>
          <t>permit volume</t>
        </is>
      </c>
      <c r="S13" s="29" t="n">
        <v>5</v>
      </c>
      <c r="T13" s="31" t="n">
        <v>4.6</v>
      </c>
      <c r="U13" s="29" t="n">
        <v>76</v>
      </c>
      <c r="V13" s="7" t="inlineStr">
        <is>
          <t>Growing</t>
        </is>
      </c>
      <c r="W13" s="32" t="inlineStr">
        <is>
          <t>Under 50</t>
        </is>
      </c>
      <c r="X13" s="32" t="inlineStr">
        <is>
          <t>None</t>
        </is>
      </c>
      <c r="Y13" s="5" t="inlineStr">
        <is>
          <t>Office</t>
        </is>
      </c>
      <c r="Z13" s="7" t="inlineStr">
        <is>
          <t>Leased</t>
        </is>
      </c>
      <c r="AA13" s="31" t="n">
        <v>22.1</v>
      </c>
      <c r="AB13" s="29" t="n">
        <v>32</v>
      </c>
      <c r="AC13" s="29" t="n">
        <v>3</v>
      </c>
      <c r="AD13" s="5" t="inlineStr">
        <is>
          <t>Residential plumbing, gas line installation, water treatment</t>
        </is>
      </c>
      <c r="AE13" s="5" t="inlineStr">
        <is>
          <t>None</t>
        </is>
      </c>
      <c r="AF13" s="9" t="inlineStr">
        <is>
          <t>Gas line specialty is in high demand. Growing review count shows momentum. Distance and young owner make this a long-term watch.</t>
        </is>
      </c>
      <c r="AG13" s="9" t="inlineStr">
        <is>
          <t>Monitor -- owner is under 50 and building the business</t>
        </is>
      </c>
      <c r="AN13" s="33" t="n">
        <v>3</v>
      </c>
      <c r="AO13" s="33" t="n">
        <v>4</v>
      </c>
      <c r="AP13" s="33" t="n">
        <v>1</v>
      </c>
      <c r="AQ13" s="33" t="n">
        <v>2</v>
      </c>
      <c r="AR13" s="33" t="n">
        <v>3</v>
      </c>
      <c r="AS13" s="33" t="n">
        <v>2</v>
      </c>
      <c r="AT13" s="33" t="n">
        <v>3</v>
      </c>
      <c r="AU13" s="33" t="n">
        <v>4</v>
      </c>
    </row>
    <row r="14">
      <c r="A14" s="13">
        <f>RANK(C14,C5:C14)</f>
        <v/>
      </c>
      <c r="B14" s="34">
        <f>IF(C14&gt;=28,"A",IF(C14&gt;=20,"B","C"))</f>
        <v/>
      </c>
      <c r="C14" s="35">
        <f>(AN14/5)*AF$2+(AO14/5)*AG$2+(AP14/5)*AH$2+(AQ14/5)*AI$2+(AR14/5)*AJ$2+(AS14/5)*AK$2+(AT14/5)*AL$2+(AU14/5)*AM$2</f>
        <v/>
      </c>
      <c r="D14" s="12" t="inlineStr">
        <is>
          <t>Great Lakes Drain Masters</t>
        </is>
      </c>
      <c r="E14" s="12" t="inlineStr">
        <is>
          <t>GL Drain</t>
        </is>
      </c>
      <c r="F14" s="12" t="inlineStr">
        <is>
          <t>8900 Gratiot Ave</t>
        </is>
      </c>
      <c r="G14" s="12" t="inlineStr">
        <is>
          <t>Eastpointe</t>
        </is>
      </c>
      <c r="H14" s="14" t="inlineStr">
        <is>
          <t>MI</t>
        </is>
      </c>
      <c r="I14" s="12" t="inlineStr">
        <is>
          <t>48021</t>
        </is>
      </c>
      <c r="J14" s="12" t="inlineStr">
        <is>
          <t>Frank Deluca</t>
        </is>
      </c>
      <c r="K14" s="12" t="inlineStr">
        <is>
          <t>(586) 555-0731</t>
        </is>
      </c>
      <c r="L14" s="12" t="inlineStr">
        <is>
          <t>None</t>
        </is>
      </c>
      <c r="M14" s="36" t="n">
        <v>2008</v>
      </c>
      <c r="N14" s="13">
        <f>2026-M14</f>
        <v/>
      </c>
      <c r="O14" s="12" t="inlineStr">
        <is>
          <t>Drain Cleaning</t>
        </is>
      </c>
      <c r="P14" s="14" t="inlineStr">
        <is>
          <t>Active</t>
        </is>
      </c>
      <c r="Q14" s="37" t="inlineStr">
        <is>
          <t>$400K-$700K</t>
        </is>
      </c>
      <c r="R14" s="12" t="inlineStr">
        <is>
          <t>employee count</t>
        </is>
      </c>
      <c r="S14" s="36" t="n">
        <v>5</v>
      </c>
      <c r="T14" s="38" t="n">
        <v>4.3</v>
      </c>
      <c r="U14" s="36" t="n">
        <v>44</v>
      </c>
      <c r="V14" s="14" t="inlineStr">
        <is>
          <t>Stable</t>
        </is>
      </c>
      <c r="W14" s="39" t="inlineStr">
        <is>
          <t>50-59</t>
        </is>
      </c>
      <c r="X14" s="39" t="inlineStr">
        <is>
          <t>None</t>
        </is>
      </c>
      <c r="Y14" s="12" t="inlineStr">
        <is>
          <t>Office</t>
        </is>
      </c>
      <c r="Z14" s="14" t="inlineStr">
        <is>
          <t>Leased</t>
        </is>
      </c>
      <c r="AA14" s="38" t="n">
        <v>18.2</v>
      </c>
      <c r="AB14" s="36" t="n">
        <v>28</v>
      </c>
      <c r="AC14" s="36" t="n">
        <v>2</v>
      </c>
      <c r="AD14" s="12" t="inlineStr">
        <is>
          <t>Residential drain cleaning, camera inspections, hydro jetting</t>
        </is>
      </c>
      <c r="AE14" s="12" t="inlineStr">
        <is>
          <t>No website -- marketing entirely via Google and Nextdoor</t>
        </is>
      </c>
      <c r="AF14" s="16" t="inlineStr">
        <is>
          <t>Solid drain cleaning niche. Equipment is the real asset. Owner might sell if the price is right -- no website suggests low investment in growth.</t>
        </is>
      </c>
      <c r="AG14" s="16" t="inlineStr">
        <is>
          <t>Call owner direct</t>
        </is>
      </c>
      <c r="AN14" s="33" t="n">
        <v>2</v>
      </c>
      <c r="AO14" s="33" t="n">
        <v>3</v>
      </c>
      <c r="AP14" s="33" t="n">
        <v>2</v>
      </c>
      <c r="AQ14" s="33" t="n">
        <v>3</v>
      </c>
      <c r="AR14" s="33" t="n">
        <v>3</v>
      </c>
      <c r="AS14" s="33" t="n">
        <v>2</v>
      </c>
      <c r="AT14" s="33" t="n">
        <v>3</v>
      </c>
      <c r="AU14" s="33" t="n">
        <v>3</v>
      </c>
    </row>
  </sheetData>
  <autoFilter ref="A4:AG14"/>
  <conditionalFormatting sqref="B5:B14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50" customWidth="1" min="4" max="4"/>
  </cols>
  <sheetData>
    <row r="1">
      <c r="A1" s="1" t="inlineStr">
        <is>
          <t>SCORING METHODOLOGY</t>
        </is>
      </c>
    </row>
    <row r="3">
      <c r="A3" s="40" t="inlineStr">
        <is>
          <t>Scoring Factors</t>
        </is>
      </c>
    </row>
    <row r="4">
      <c r="A4" s="3" t="inlineStr">
        <is>
          <t>Factor</t>
        </is>
      </c>
      <c r="B4" s="3" t="inlineStr">
        <is>
          <t>Weight</t>
        </is>
      </c>
      <c r="C4" s="3" t="inlineStr">
        <is>
          <t>Score 1 (Lowest)</t>
        </is>
      </c>
      <c r="D4" s="3" t="inlineStr">
        <is>
          <t>Score 5 (Highest)</t>
        </is>
      </c>
    </row>
    <row r="5">
      <c r="A5" s="5" t="inlineStr">
        <is>
          <t>Revenue Size</t>
        </is>
      </c>
      <c r="B5" s="29" t="n">
        <v>6</v>
      </c>
      <c r="C5" s="5" t="inlineStr">
        <is>
          <t>Below $400K</t>
        </is>
      </c>
      <c r="D5" s="5" t="inlineStr">
        <is>
          <t>$800K-$2.5M+</t>
        </is>
      </c>
    </row>
    <row r="6">
      <c r="A6" s="5" t="inlineStr">
        <is>
          <t>Online Reputation</t>
        </is>
      </c>
      <c r="B6" s="29" t="n">
        <v>4</v>
      </c>
      <c r="C6" s="5" t="inlineStr">
        <is>
          <t>Under 4.0 stars or &lt;10 reviews</t>
        </is>
      </c>
      <c r="D6" s="5" t="inlineStr">
        <is>
          <t>4.5+ stars with 50+ reviews</t>
        </is>
      </c>
    </row>
    <row r="7">
      <c r="A7" s="5" t="inlineStr">
        <is>
          <t>Owner Succession</t>
        </is>
      </c>
      <c r="B7" s="29" t="n">
        <v>6</v>
      </c>
      <c r="C7" s="5" t="inlineStr">
        <is>
          <t>Under 50, building the business</t>
        </is>
      </c>
      <c r="D7" s="5" t="inlineStr">
        <is>
          <t>60+ with active exit signals</t>
        </is>
      </c>
    </row>
    <row r="8">
      <c r="A8" s="5" t="inlineStr">
        <is>
          <t>Geographic Fit</t>
        </is>
      </c>
      <c r="B8" s="29" t="n">
        <v>6</v>
      </c>
      <c r="C8" s="5" t="inlineStr">
        <is>
          <t>Over 20 miles, no strategic gap fill</t>
        </is>
      </c>
      <c r="D8" s="5" t="inlineStr">
        <is>
          <t>Under 10 miles, fills a coverage gap</t>
        </is>
      </c>
    </row>
    <row r="9">
      <c r="A9" s="5" t="inlineStr">
        <is>
          <t>Years in Business</t>
        </is>
      </c>
      <c r="B9" s="29" t="n">
        <v>4</v>
      </c>
      <c r="C9" s="5" t="inlineStr">
        <is>
          <t>Under 5 years</t>
        </is>
      </c>
      <c r="D9" s="5" t="inlineStr">
        <is>
          <t>15+ years established</t>
        </is>
      </c>
    </row>
    <row r="10">
      <c r="A10" s="5" t="inlineStr">
        <is>
          <t>Facility / Lease</t>
        </is>
      </c>
      <c r="B10" s="29" t="n">
        <v>4</v>
      </c>
      <c r="C10" s="5" t="inlineStr">
        <is>
          <t>Short-term lease (&lt;3 yr), small</t>
        </is>
      </c>
      <c r="D10" s="5" t="inlineStr">
        <is>
          <t>Owned property or 5+ yr lease</t>
        </is>
      </c>
    </row>
    <row r="11">
      <c r="A11" s="5" t="inlineStr">
        <is>
          <t>Workforce Size</t>
        </is>
      </c>
      <c r="B11" s="29" t="n">
        <v>4</v>
      </c>
      <c r="C11" s="5" t="inlineStr">
        <is>
          <t>Solo operator</t>
        </is>
      </c>
      <c r="D11" s="5" t="inlineStr">
        <is>
          <t>7+ employees with management depth</t>
        </is>
      </c>
    </row>
    <row r="12">
      <c r="A12" s="5" t="inlineStr">
        <is>
          <t>Integration Risk</t>
        </is>
      </c>
      <c r="B12" s="29" t="n">
        <v>6</v>
      </c>
      <c r="C12" s="5" t="inlineStr">
        <is>
          <t>Major overhaul needed</t>
        </is>
      </c>
      <c r="D12" s="5" t="inlineStr">
        <is>
          <t>Drop-in bolt-on, compatible systems</t>
        </is>
      </c>
    </row>
    <row r="13">
      <c r="A13" s="41" t="inlineStr">
        <is>
          <t>TOTAL WEIGHT</t>
        </is>
      </c>
      <c r="B13" s="42">
        <f>SUM(B5:B12)</f>
        <v/>
      </c>
    </row>
    <row r="15">
      <c r="A15" s="40" t="inlineStr">
        <is>
          <t>Tier Definitions</t>
        </is>
      </c>
    </row>
    <row r="16">
      <c r="A16" s="3" t="inlineStr">
        <is>
          <t>Tier</t>
        </is>
      </c>
      <c r="B16" s="3" t="inlineStr">
        <is>
          <t>Threshold</t>
        </is>
      </c>
      <c r="C16" s="3" t="inlineStr">
        <is>
          <t>Action</t>
        </is>
      </c>
    </row>
    <row r="17">
      <c r="A17" s="43" t="inlineStr">
        <is>
          <t>Tier A</t>
        </is>
      </c>
      <c r="B17" s="44" t="inlineStr">
        <is>
          <t>Score &gt;= 28 of 40</t>
        </is>
      </c>
      <c r="C17" s="44" t="inlineStr">
        <is>
          <t>Pursue immediately. Best strategic + financial fit.</t>
        </is>
      </c>
    </row>
    <row r="18">
      <c r="A18" s="43" t="inlineStr">
        <is>
          <t>Tier B</t>
        </is>
      </c>
      <c r="B18" s="44" t="inlineStr">
        <is>
          <t>Score 20-27</t>
        </is>
      </c>
      <c r="C18" s="44" t="inlineStr">
        <is>
          <t>Worth a conversation. Good bones, has a gap (timing, price, distance).</t>
        </is>
      </c>
    </row>
    <row r="19">
      <c r="A19" s="43" t="inlineStr">
        <is>
          <t>Tier C</t>
        </is>
      </c>
      <c r="B19" s="44" t="inlineStr">
        <is>
          <t>Score &lt; 20</t>
        </is>
      </c>
      <c r="C19" s="44" t="inlineStr">
        <is>
          <t>Monitor or pass. Significant barriers to successful acquisition.</t>
        </is>
      </c>
    </row>
    <row r="21">
      <c r="A21" s="40" t="inlineStr">
        <is>
          <t>Data Sources</t>
        </is>
      </c>
    </row>
    <row r="22">
      <c r="A22" s="44" t="inlineStr">
        <is>
          <t>• Michigan LARA Contractor License Database (accessed March 2026)</t>
        </is>
      </c>
    </row>
    <row r="23">
      <c r="A23" s="44" t="inlineStr">
        <is>
          <t>• Michigan LARA Business Entity Search (accessed March 2026)</t>
        </is>
      </c>
    </row>
    <row r="24">
      <c r="A24" s="44" t="inlineStr">
        <is>
          <t>• Google Maps / Places API (accessed March 28, 2026)</t>
        </is>
      </c>
    </row>
    <row r="25">
      <c r="A25" s="44" t="inlineStr">
        <is>
          <t>• Oakland County Property Records (accessed March 2026)</t>
        </is>
      </c>
    </row>
    <row r="26">
      <c r="A26" s="44" t="inlineStr">
        <is>
          <t>• LinkedIn company pages (accessed March 2026)</t>
        </is>
      </c>
    </row>
    <row r="27">
      <c r="A27" s="44" t="inlineStr">
        <is>
          <t>• OSHA Inspection Database (accessed March 25, 2026)</t>
        </is>
      </c>
    </row>
    <row r="28">
      <c r="A28" s="44" t="inlineStr">
        <is>
          <t>• BuildZoom permit data (accessed March 2026)</t>
        </is>
      </c>
    </row>
    <row r="30">
      <c r="A30" s="40" t="inlineStr">
        <is>
          <t>Known Limitations</t>
        </is>
      </c>
    </row>
    <row r="31">
      <c r="A31" s="44" t="inlineStr">
        <is>
          <t>• Revenue estimates are ranges based on employee count proxy and permit volume -- NOT verified financials</t>
        </is>
      </c>
    </row>
    <row r="32">
      <c r="A32" s="44" t="inlineStr">
        <is>
          <t>• Owner age estimates from LinkedIn profiles; accuracy varies</t>
        </is>
      </c>
    </row>
    <row r="33">
      <c r="A33" s="44" t="inlineStr">
        <is>
          <t>• Facility ownership from county records -- may lag 3-6 months</t>
        </is>
      </c>
    </row>
    <row r="34">
      <c r="A34" s="44" t="inlineStr">
        <is>
          <t>• Google review trends based on 6-month snapshot, not full history</t>
        </is>
      </c>
    </row>
    <row r="35">
      <c r="A35" s="44" t="inlineStr">
        <is>
          <t>• Drive times based on weekday 9 AM traffic conditions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1404 Labs</dc:creator>
  <dc:title xmlns:dc="http://purl.org/dc/elements/1.1/">Acquisition Target Screen</dc:title>
  <dcterms:created xmlns:dcterms="http://purl.org/dc/terms/" xmlns:xsi="http://www.w3.org/2001/XMLSchema-instance" xsi:type="dcterms:W3CDTF">2026-04-07T22:01:46Z</dcterms:created>
  <dcterms:modified xmlns:dcterms="http://purl.org/dc/terms/" xmlns:xsi="http://www.w3.org/2001/XMLSchema-instance" xsi:type="dcterms:W3CDTF">2026-04-07T22:01:46Z</dcterms:modified>
</cp:coreProperties>
</file>