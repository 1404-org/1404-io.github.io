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DA Bridge" sheetId="1" state="visible" r:id="rId1"/>
    <sheet xmlns:r="http://schemas.openxmlformats.org/officeDocument/2006/relationships" name="Add-Back Detail" sheetId="2" state="visible" r:id="rId2"/>
    <sheet xmlns:r="http://schemas.openxmlformats.org/officeDocument/2006/relationships" name="Value Impact" sheetId="3" state="visible" r:id="rId3"/>
  </sheets>
  <definedNames>
    <definedName name="NormalizedEBITDA">'EBITDA Bridge'!$E$42</definedName>
    <definedName name="ReportedEBITDA">'EBITDA Bridge'!$E$14</definedName>
    <definedName name="TotalAddBacks">'EBITDA Bridge'!$E$40</definedName>
    <definedName name="_xlnm.Print_Titles" localSheetId="0">'EBITDA Bridge'!$1:$6</definedName>
    <definedName name="_xlnm._FilterDatabase" localSheetId="1" hidden="1">'Add-Back Detail'!$A$4:$K$17</definedName>
    <definedName name="_xlnm.Print_Titles" localSheetId="1">'Add-Back Detail'!$1:$4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$* #,##0_);_($* (#,##0);_($* &quot;-&quot;_)"/>
    <numFmt numFmtId="165" formatCode="0.0%"/>
    <numFmt numFmtId="166" formatCode="0.0x"/>
  </numFmts>
  <fonts count="17">
    <font>
      <name val="Calibri"/>
      <family val="2"/>
      <color theme="1"/>
      <sz val="11"/>
      <scheme val="minor"/>
    </font>
    <font>
      <name val="Inter"/>
      <b val="1"/>
      <color rgb="00111010"/>
      <sz val="14"/>
    </font>
    <font>
      <name val="Inter"/>
      <b val="1"/>
      <color rgb="00111010"/>
      <sz val="12"/>
    </font>
    <font>
      <name val="Inter"/>
      <color rgb="009a948c"/>
      <sz val="10"/>
    </font>
    <font>
      <name val="Inter"/>
      <b val="1"/>
      <color rgb="00FFFFFF"/>
      <sz val="9"/>
    </font>
    <font>
      <name val="Inter"/>
      <b val="1"/>
      <color rgb="00111010"/>
      <sz val="10"/>
    </font>
    <font>
      <name val="Inter"/>
      <color rgb="000000FF"/>
      <sz val="10"/>
    </font>
    <font>
      <name val="Inter"/>
      <b val="1"/>
      <color rgb="00000000"/>
      <sz val="10"/>
    </font>
    <font>
      <name val="Inter"/>
      <color rgb="00111010"/>
      <sz val="10"/>
    </font>
    <font>
      <name val="Inter"/>
      <color rgb="00000000"/>
      <sz val="10"/>
    </font>
    <font>
      <name val="Inter"/>
      <b val="1"/>
      <color rgb="00111010"/>
      <sz val="11"/>
    </font>
    <font>
      <name val="Inter"/>
      <i val="1"/>
      <color rgb="000000FF"/>
      <sz val="10"/>
    </font>
    <font>
      <name val="Inter"/>
      <color rgb="009a948c"/>
      <sz val="7"/>
    </font>
    <font>
      <name val="Inter"/>
      <color rgb="00059669"/>
      <sz val="9"/>
    </font>
    <font>
      <name val="Inter"/>
      <color rgb="00D97706"/>
      <sz val="9"/>
    </font>
    <font>
      <name val="Inter"/>
      <color rgb="00DC2626"/>
      <sz val="9"/>
    </font>
    <font>
      <name val="Inter"/>
      <b val="1"/>
      <color rgb="00DC2626"/>
      <sz val="10"/>
    </font>
  </fonts>
  <fills count="8">
    <fill>
      <patternFill/>
    </fill>
    <fill>
      <patternFill patternType="gray125"/>
    </fill>
    <fill>
      <patternFill patternType="solid">
        <fgColor rgb="00111010"/>
        <bgColor rgb="00111010"/>
      </patternFill>
    </fill>
    <fill>
      <patternFill patternType="solid">
        <fgColor rgb="00D9D9D9"/>
        <bgColor rgb="00D9D9D9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5">
    <border>
      <left/>
      <right/>
      <top/>
      <bottom/>
      <diagonal/>
    </border>
    <border>
      <bottom style="medium">
        <color rgb="00111010"/>
      </bottom>
    </border>
    <border>
      <top style="thin">
        <color rgb="00000000"/>
      </top>
    </border>
    <border>
      <bottom style="hair">
        <color rgb="00D9D9D9"/>
      </bottom>
    </border>
    <border>
      <top style="double">
        <color rgb="00000000"/>
      </top>
      <bottom style="thin">
        <color rgb="0000000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4" fontId="7" fillId="0" borderId="2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  <xf numFmtId="165" fontId="9" fillId="0" borderId="0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8" fillId="0" borderId="3" applyAlignment="1" pivotButton="0" quotePrefix="0" xfId="0">
      <alignment horizontal="left" vertical="center" wrapText="1"/>
    </xf>
    <xf numFmtId="164" fontId="6" fillId="0" borderId="3" applyAlignment="1" pivotButton="0" quotePrefix="0" xfId="0">
      <alignment horizontal="right" vertical="center" wrapText="1"/>
    </xf>
    <xf numFmtId="0" fontId="11" fillId="0" borderId="3" applyAlignment="1" pivotButton="0" quotePrefix="0" xfId="0">
      <alignment horizontal="left" vertical="center" wrapText="1"/>
    </xf>
    <xf numFmtId="164" fontId="11" fillId="0" borderId="3" applyAlignment="1" pivotButton="0" quotePrefix="0" xfId="0">
      <alignment horizontal="right" vertical="center" wrapText="1"/>
    </xf>
    <xf numFmtId="0" fontId="5" fillId="0" borderId="4" applyAlignment="1" pivotButton="0" quotePrefix="0" xfId="0">
      <alignment horizontal="left" vertical="center" wrapText="1"/>
    </xf>
    <xf numFmtId="164" fontId="5" fillId="0" borderId="4" applyAlignment="1" pivotButton="0" quotePrefix="0" xfId="0">
      <alignment horizontal="right" vertical="center" wrapText="1"/>
    </xf>
    <xf numFmtId="164" fontId="9" fillId="0" borderId="0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13" fillId="4" borderId="3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left" vertical="center" wrapText="1"/>
    </xf>
    <xf numFmtId="164" fontId="6" fillId="5" borderId="3" applyAlignment="1" pivotButton="0" quotePrefix="0" xfId="0">
      <alignment horizontal="right" vertical="center" wrapText="1"/>
    </xf>
    <xf numFmtId="0" fontId="14" fillId="6" borderId="3" applyAlignment="1" pivotButton="0" quotePrefix="0" xfId="0">
      <alignment horizontal="center" vertical="center" wrapText="1"/>
    </xf>
    <xf numFmtId="164" fontId="11" fillId="5" borderId="3" applyAlignment="1" pivotButton="0" quotePrefix="0" xfId="0">
      <alignment horizontal="right" vertical="center" wrapText="1"/>
    </xf>
    <xf numFmtId="0" fontId="7" fillId="0" borderId="2" pivotButton="0" quotePrefix="0" xfId="0"/>
    <xf numFmtId="0" fontId="0" fillId="0" borderId="2" pivotButton="0" quotePrefix="0" xfId="0"/>
    <xf numFmtId="0" fontId="15" fillId="7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0" fillId="0" borderId="0" pivotButton="0" quotePrefix="0" xfId="0"/>
    <xf numFmtId="0" fontId="7" fillId="0" borderId="3" applyAlignment="1" pivotButton="0" quotePrefix="0" xfId="0">
      <alignment horizontal="left" vertical="center" wrapText="1"/>
    </xf>
    <xf numFmtId="164" fontId="9" fillId="0" borderId="3" applyAlignment="1" pivotButton="0" quotePrefix="0" xfId="0">
      <alignment horizontal="right" vertical="center" wrapText="1"/>
    </xf>
    <xf numFmtId="166" fontId="6" fillId="0" borderId="3" applyAlignment="1" pivotButton="0" quotePrefix="0" xfId="0">
      <alignment horizontal="right" vertical="center" wrapText="1"/>
    </xf>
    <xf numFmtId="164" fontId="15" fillId="0" borderId="3" applyAlignment="1" pivotButton="0" quotePrefix="0" xfId="0">
      <alignment horizontal="right" vertical="center" wrapText="1"/>
    </xf>
    <xf numFmtId="164" fontId="9" fillId="5" borderId="3" applyAlignment="1" pivotButton="0" quotePrefix="0" xfId="0">
      <alignment horizontal="right" vertical="center" wrapText="1"/>
    </xf>
    <xf numFmtId="164" fontId="15" fillId="5" borderId="3" applyAlignment="1" pivotButton="0" quotePrefix="0" xfId="0">
      <alignment horizontal="right" vertical="center" wrapText="1"/>
    </xf>
    <xf numFmtId="0" fontId="7" fillId="0" borderId="4" applyAlignment="1" pivotButton="0" quotePrefix="0" xfId="0">
      <alignment horizontal="left" vertical="center" wrapText="1"/>
    </xf>
    <xf numFmtId="164" fontId="7" fillId="0" borderId="4" applyAlignment="1" pivotButton="0" quotePrefix="0" xfId="0">
      <alignment horizontal="right" vertical="center" wrapText="1"/>
    </xf>
    <xf numFmtId="164" fontId="16" fillId="0" borderId="4" applyAlignment="1" pivotButton="0" quotePrefix="0" xfId="0">
      <alignment horizontal="right" vertical="center" wrapText="1"/>
    </xf>
    <xf numFmtId="164" fontId="7" fillId="0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E5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Acme Construction LLC</t>
        </is>
      </c>
    </row>
    <row r="2">
      <c r="A2" s="2" t="inlineStr">
        <is>
          <t>EBITDA Normalization Bridge</t>
        </is>
      </c>
    </row>
    <row r="3">
      <c r="A3" s="3" t="inlineStr">
        <is>
          <t>As of March 31, 2026</t>
        </is>
      </c>
    </row>
    <row r="4">
      <c r="A4" s="3" t="inlineStr">
        <is>
          <t>Prepared by 1404 Labs  |  CONFIDENTIAL</t>
        </is>
      </c>
    </row>
    <row r="5" ht="6" customHeight="1"/>
    <row r="6">
      <c r="A6" s="4" t="n"/>
      <c r="B6" s="5" t="inlineStr">
        <is>
          <t>2023</t>
        </is>
      </c>
      <c r="C6" s="5" t="inlineStr">
        <is>
          <t>2024</t>
        </is>
      </c>
      <c r="D6" s="5" t="inlineStr">
        <is>
          <t>2025</t>
        </is>
      </c>
      <c r="E6" s="5" t="inlineStr">
        <is>
          <t>LTM</t>
        </is>
      </c>
    </row>
    <row r="7">
      <c r="A7" s="6" t="inlineStr">
        <is>
          <t>Revenue</t>
        </is>
      </c>
      <c r="B7" s="7" t="n">
        <v>12500000</v>
      </c>
      <c r="C7" s="7" t="n">
        <v>14200000</v>
      </c>
      <c r="D7" s="7" t="n">
        <v>15800000</v>
      </c>
      <c r="E7" s="7" t="n">
        <v>15400000</v>
      </c>
    </row>
    <row r="8" ht="6" customHeight="1"/>
    <row r="9">
      <c r="A9" s="8" t="inlineStr">
        <is>
          <t>Reported Net Income</t>
        </is>
      </c>
      <c r="B9" s="7" t="n">
        <v>485000</v>
      </c>
      <c r="C9" s="7" t="n">
        <v>620000</v>
      </c>
      <c r="D9" s="7" t="n">
        <v>710000</v>
      </c>
      <c r="E9" s="7" t="n">
        <v>695000</v>
      </c>
    </row>
    <row r="10">
      <c r="A10" s="9" t="inlineStr">
        <is>
          <t xml:space="preserve">  + Interest Expense</t>
        </is>
      </c>
      <c r="B10" s="7" t="n">
        <v>42000</v>
      </c>
      <c r="C10" s="7" t="n">
        <v>38000</v>
      </c>
      <c r="D10" s="7" t="n">
        <v>35000</v>
      </c>
      <c r="E10" s="7" t="n">
        <v>36000</v>
      </c>
    </row>
    <row r="11">
      <c r="A11" s="9" t="inlineStr">
        <is>
          <t xml:space="preserve">  + Income Tax Expense</t>
        </is>
      </c>
      <c r="B11" s="7" t="n">
        <v>125000</v>
      </c>
      <c r="C11" s="7" t="n">
        <v>160000</v>
      </c>
      <c r="D11" s="7" t="n">
        <v>183000</v>
      </c>
      <c r="E11" s="7" t="n">
        <v>179000</v>
      </c>
    </row>
    <row r="12">
      <c r="A12" s="9" t="inlineStr">
        <is>
          <t xml:space="preserve">  + Depreciation</t>
        </is>
      </c>
      <c r="B12" s="7" t="n">
        <v>210000</v>
      </c>
      <c r="C12" s="7" t="n">
        <v>225000</v>
      </c>
      <c r="D12" s="7" t="n">
        <v>240000</v>
      </c>
      <c r="E12" s="7" t="n">
        <v>238000</v>
      </c>
    </row>
    <row r="13">
      <c r="A13" s="9" t="inlineStr">
        <is>
          <t xml:space="preserve">  + Amortization</t>
        </is>
      </c>
      <c r="B13" s="7" t="n">
        <v>15000</v>
      </c>
      <c r="C13" s="7" t="n">
        <v>15000</v>
      </c>
      <c r="D13" s="7" t="n">
        <v>15000</v>
      </c>
      <c r="E13" s="7" t="n">
        <v>15000</v>
      </c>
    </row>
    <row r="14">
      <c r="A14" s="10" t="inlineStr">
        <is>
          <t>Reported EBITDA</t>
        </is>
      </c>
      <c r="B14" s="11">
        <f>B9+B10+B11+B12+B13</f>
        <v/>
      </c>
      <c r="C14" s="11">
        <f>C9+C10+C11+C12+C13</f>
        <v/>
      </c>
      <c r="D14" s="11">
        <f>D9+D10+D11+D12+D13</f>
        <v/>
      </c>
      <c r="E14" s="11">
        <f>E9+E10+E11+E12+E13</f>
        <v/>
      </c>
    </row>
    <row r="15">
      <c r="A15" s="12" t="inlineStr">
        <is>
          <t xml:space="preserve">  Reported EBITDA Margin</t>
        </is>
      </c>
      <c r="B15" s="13">
        <f>IF(B7=0,0,B14/B7)</f>
        <v/>
      </c>
      <c r="C15" s="13">
        <f>IF(C7=0,0,C14/C7)</f>
        <v/>
      </c>
      <c r="D15" s="13">
        <f>IF(D7=0,0,D14/D7)</f>
        <v/>
      </c>
      <c r="E15" s="13">
        <f>IF(E7=0,0,E14/E7)</f>
        <v/>
      </c>
    </row>
    <row r="16" ht="6" customHeight="1"/>
    <row r="17">
      <c r="A17" s="14" t="inlineStr">
        <is>
          <t>NORMALIZATION ADD-BACKS</t>
        </is>
      </c>
    </row>
    <row r="18">
      <c r="A18" s="15" t="inlineStr">
        <is>
          <t>Owner Compensation Excess</t>
        </is>
      </c>
      <c r="B18" s="16" t="n"/>
      <c r="C18" s="16" t="n"/>
      <c r="D18" s="16" t="n"/>
      <c r="E18" s="16" t="n"/>
    </row>
    <row r="19">
      <c r="A19" s="17" t="inlineStr">
        <is>
          <t xml:space="preserve">  Owner salary excess over market replacement ($400K actual vs. $225K market CEO for $15M contractor)</t>
        </is>
      </c>
      <c r="B19" s="18" t="n">
        <v>175000</v>
      </c>
      <c r="C19" s="18" t="n">
        <v>185000</v>
      </c>
      <c r="D19" s="18" t="n">
        <v>195000</v>
      </c>
      <c r="E19" s="18" t="n">
        <v>192000</v>
      </c>
    </row>
    <row r="20">
      <c r="A20" s="15" t="inlineStr">
        <is>
          <t>Owner Payroll Tax &amp; Benefits on Excess</t>
        </is>
      </c>
      <c r="B20" s="16" t="n"/>
      <c r="C20" s="16" t="n"/>
      <c r="D20" s="16" t="n"/>
      <c r="E20" s="16" t="n"/>
    </row>
    <row r="21">
      <c r="A21" s="17" t="inlineStr">
        <is>
          <t xml:space="preserve">  Employer payroll tax on excess owner compensation (7.65% FICA)</t>
        </is>
      </c>
      <c r="B21" s="18" t="n">
        <v>13388</v>
      </c>
      <c r="C21" s="18" t="n">
        <v>14153</v>
      </c>
      <c r="D21" s="18" t="n">
        <v>14918</v>
      </c>
      <c r="E21" s="18" t="n">
        <v>14688</v>
      </c>
    </row>
    <row r="22">
      <c r="A22" s="15" t="inlineStr">
        <is>
          <t>Family Member Salaries</t>
        </is>
      </c>
      <c r="B22" s="16" t="n"/>
      <c r="C22" s="16" t="n"/>
      <c r="D22" s="16" t="n"/>
      <c r="E22" s="16" t="n"/>
    </row>
    <row r="23">
      <c r="A23" s="17" t="inlineStr">
        <is>
          <t xml:space="preserve">  Owner's spouse — bookkeeper role, paid $85K vs. $45K market rate</t>
        </is>
      </c>
      <c r="B23" s="18" t="n">
        <v>40000</v>
      </c>
      <c r="C23" s="18" t="n">
        <v>40000</v>
      </c>
      <c r="D23" s="18" t="n">
        <v>40000</v>
      </c>
      <c r="E23" s="18" t="n">
        <v>40000</v>
      </c>
    </row>
    <row r="24">
      <c r="A24" s="19" t="inlineStr">
        <is>
          <t xml:space="preserve">  Owner's son — summer laborer, no documented hours or work product [1]</t>
        </is>
      </c>
      <c r="B24" s="20" t="n">
        <v>18000</v>
      </c>
      <c r="C24" s="20" t="n">
        <v>22000</v>
      </c>
      <c r="D24" s="20" t="n">
        <v>0</v>
      </c>
      <c r="E24" s="20" t="n">
        <v>0</v>
      </c>
    </row>
    <row r="25">
      <c r="A25" s="10" t="inlineStr">
        <is>
          <t xml:space="preserve">  Subtotal: Family Member Salaries</t>
        </is>
      </c>
      <c r="B25" s="11">
        <f>SUM(B23:B24)</f>
        <v/>
      </c>
      <c r="C25" s="11">
        <f>SUM(C23:C24)</f>
        <v/>
      </c>
      <c r="D25" s="11">
        <f>SUM(D23:D24)</f>
        <v/>
      </c>
      <c r="E25" s="11">
        <f>SUM(E23:E24)</f>
        <v/>
      </c>
    </row>
    <row r="26">
      <c r="A26" s="15" t="inlineStr">
        <is>
          <t>Personal Vehicles</t>
        </is>
      </c>
      <c r="B26" s="16" t="n"/>
      <c r="C26" s="16" t="n"/>
      <c r="D26" s="16" t="n"/>
      <c r="E26" s="16" t="n"/>
    </row>
    <row r="27">
      <c r="A27" s="17" t="inlineStr">
        <is>
          <t xml:space="preserve">  Owner's BMW X7 — lease, fuel, insurance, maintenance (personal use vehicle)</t>
        </is>
      </c>
      <c r="B27" s="18" t="n">
        <v>18500</v>
      </c>
      <c r="C27" s="18" t="n">
        <v>18500</v>
      </c>
      <c r="D27" s="18" t="n">
        <v>18500</v>
      </c>
      <c r="E27" s="18" t="n">
        <v>18500</v>
      </c>
    </row>
    <row r="28">
      <c r="A28" s="15" t="inlineStr">
        <is>
          <t>Personal Insurance</t>
        </is>
      </c>
      <c r="B28" s="16" t="n"/>
      <c r="C28" s="16" t="n"/>
      <c r="D28" s="16" t="n"/>
      <c r="E28" s="16" t="n"/>
    </row>
    <row r="29">
      <c r="A29" s="17" t="inlineStr">
        <is>
          <t xml:space="preserve">  Owner personal life insurance ($2M policy) + spouse health insurance</t>
        </is>
      </c>
      <c r="B29" s="18" t="n">
        <v>14200</v>
      </c>
      <c r="C29" s="18" t="n">
        <v>15100</v>
      </c>
      <c r="D29" s="18" t="n">
        <v>16000</v>
      </c>
      <c r="E29" s="18" t="n">
        <v>15800</v>
      </c>
    </row>
    <row r="30">
      <c r="A30" s="15" t="inlineStr">
        <is>
          <t>Personal Travel &amp; Entertainment</t>
        </is>
      </c>
      <c r="B30" s="16" t="n"/>
      <c r="C30" s="16" t="n"/>
      <c r="D30" s="16" t="n"/>
      <c r="E30" s="16" t="n"/>
    </row>
    <row r="31">
      <c r="A31" s="19" t="inlineStr">
        <is>
          <t xml:space="preserve">  Owner personal travel &amp; entertainment (family vacation, country club dues, sporting events) [2]</t>
        </is>
      </c>
      <c r="B31" s="20" t="n">
        <v>28000</v>
      </c>
      <c r="C31" s="20" t="n">
        <v>32000</v>
      </c>
      <c r="D31" s="20" t="n">
        <v>25000</v>
      </c>
      <c r="E31" s="20" t="n">
        <v>27000</v>
      </c>
    </row>
    <row r="32">
      <c r="A32" s="15" t="inlineStr">
        <is>
          <t>One-Time Legal/Professional Costs</t>
        </is>
      </c>
      <c r="B32" s="16" t="n"/>
      <c r="C32" s="16" t="n"/>
      <c r="D32" s="16" t="n"/>
      <c r="E32" s="16" t="n"/>
    </row>
    <row r="33">
      <c r="A33" s="17" t="inlineStr">
        <is>
          <t xml:space="preserve">  One-time lawsuit settlement — slip-and-fall at completed project site</t>
        </is>
      </c>
      <c r="B33" s="18" t="n">
        <v>0</v>
      </c>
      <c r="C33" s="18" t="n">
        <v>125000</v>
      </c>
      <c r="D33" s="18" t="n">
        <v>0</v>
      </c>
      <c r="E33" s="18" t="n">
        <v>0</v>
      </c>
    </row>
    <row r="34">
      <c r="A34" s="15" t="inlineStr">
        <is>
          <t>One-Time Project Losses</t>
        </is>
      </c>
      <c r="B34" s="16" t="n"/>
      <c r="C34" s="16" t="n"/>
      <c r="D34" s="16" t="n"/>
      <c r="E34" s="16" t="n"/>
    </row>
    <row r="35">
      <c r="A35" s="19" t="inlineStr">
        <is>
          <t xml:space="preserve">  One-time loss on Harbor Point Retail project — subcontractor default required replacement mid-project [3]</t>
        </is>
      </c>
      <c r="B35" s="20" t="n">
        <v>0</v>
      </c>
      <c r="C35" s="20" t="n">
        <v>0</v>
      </c>
      <c r="D35" s="20" t="n">
        <v>185000</v>
      </c>
      <c r="E35" s="20" t="n">
        <v>185000</v>
      </c>
    </row>
    <row r="36">
      <c r="A36" s="15" t="inlineStr">
        <is>
          <t>Related-Party Rent Adjustment</t>
        </is>
      </c>
      <c r="B36" s="16" t="n"/>
      <c r="C36" s="16" t="n"/>
      <c r="D36" s="16" t="n"/>
      <c r="E36" s="16" t="n"/>
    </row>
    <row r="37">
      <c r="A37" s="17" t="inlineStr">
        <is>
          <t xml:space="preserve">  Excess rent paid to owner's LLC for shop/yard — $14K/mo paid vs. $10K/mo FMV</t>
        </is>
      </c>
      <c r="B37" s="18" t="n">
        <v>48000</v>
      </c>
      <c r="C37" s="18" t="n">
        <v>48000</v>
      </c>
      <c r="D37" s="18" t="n">
        <v>48000</v>
      </c>
      <c r="E37" s="18" t="n">
        <v>48000</v>
      </c>
    </row>
    <row r="38">
      <c r="A38" s="15" t="inlineStr">
        <is>
          <t>Discretionary/Deferred Spending</t>
        </is>
      </c>
      <c r="B38" s="16" t="n"/>
      <c r="C38" s="16" t="n"/>
      <c r="D38" s="16" t="n"/>
      <c r="E38" s="16" t="n"/>
    </row>
    <row r="39">
      <c r="A39" s="19" t="inlineStr">
        <is>
          <t xml:space="preserve">  Deferred equipment maintenance — fleet age suggests $35K/yr normalized maintenance needed [4]</t>
        </is>
      </c>
      <c r="B39" s="20" t="n">
        <v>0</v>
      </c>
      <c r="C39" s="20" t="n">
        <v>-15000</v>
      </c>
      <c r="D39" s="20" t="n">
        <v>-25000</v>
      </c>
      <c r="E39" s="20" t="n">
        <v>-22000</v>
      </c>
    </row>
    <row r="40">
      <c r="A40" s="10" t="inlineStr">
        <is>
          <t>Total Add-Backs</t>
        </is>
      </c>
      <c r="B40" s="11">
        <f>B19+B21+B23+B24+B27+B29+B31+B33+B35+B37+B39</f>
        <v/>
      </c>
      <c r="C40" s="11">
        <f>C19+C21+C23+C24+C27+C29+C31+C33+C35+C37+C39</f>
        <v/>
      </c>
      <c r="D40" s="11">
        <f>D19+D21+D23+D24+D27+D29+D31+D33+D35+D37+D39</f>
        <v/>
      </c>
      <c r="E40" s="11">
        <f>E19+E21+E23+E24+E27+E29+E31+E33+E35+E37+E39</f>
        <v/>
      </c>
    </row>
    <row r="41" ht="6" customHeight="1"/>
    <row r="42">
      <c r="A42" s="21" t="inlineStr">
        <is>
          <t>NORMALIZED EBITDA</t>
        </is>
      </c>
      <c r="B42" s="22">
        <f>B14+B40</f>
        <v/>
      </c>
      <c r="C42" s="22">
        <f>C14+C40</f>
        <v/>
      </c>
      <c r="D42" s="22">
        <f>D14+D40</f>
        <v/>
      </c>
      <c r="E42" s="22">
        <f>E14+E40</f>
        <v/>
      </c>
    </row>
    <row r="43">
      <c r="A43" s="12" t="inlineStr">
        <is>
          <t xml:space="preserve">  Normalized EBITDA Margin</t>
        </is>
      </c>
      <c r="B43" s="13">
        <f>IF(B7=0,0,B42/B7)</f>
        <v/>
      </c>
      <c r="C43" s="13">
        <f>IF(C7=0,0,C42/C7)</f>
        <v/>
      </c>
      <c r="D43" s="13">
        <f>IF(D7=0,0,D42/D7)</f>
        <v/>
      </c>
      <c r="E43" s="13">
        <f>IF(E7=0,0,E42/E7)</f>
        <v/>
      </c>
    </row>
    <row r="44">
      <c r="A44" s="12" t="inlineStr">
        <is>
          <t xml:space="preserve">  Normalization Impact</t>
        </is>
      </c>
      <c r="B44" s="23">
        <f>B42-B14</f>
        <v/>
      </c>
      <c r="C44" s="23">
        <f>C42-C14</f>
        <v/>
      </c>
      <c r="D44" s="23">
        <f>D42-D14</f>
        <v/>
      </c>
      <c r="E44" s="23">
        <f>E42-E14</f>
        <v/>
      </c>
    </row>
    <row r="45" ht="6" customHeight="1"/>
    <row r="46">
      <c r="A46" s="24" t="inlineStr">
        <is>
          <t>Notes:</t>
        </is>
      </c>
    </row>
    <row r="47">
      <c r="A47" s="24" t="inlineStr">
        <is>
          <t>[1] No time records exist. Owner states son worked summers only. Full amount added back conservatively.</t>
        </is>
      </c>
    </row>
    <row r="48">
      <c r="A48" s="24" t="inlineStr">
        <is>
          <t>[2] Estimated split: 60% personal, 40% legitimate business development based on credit card review. Only personal portion added back.</t>
        </is>
      </c>
    </row>
    <row r="49">
      <c r="A49" s="24" t="inlineStr">
        <is>
          <t>[3] Loss attributed to subcontractor default (documented). QoE will verify this is non-recurring by analyzing 3-year project profitability history.</t>
        </is>
      </c>
    </row>
    <row r="50">
      <c r="A50" s="24" t="inlineStr">
        <is>
          <t>[4] NEGATIVE adjustment. Fleet maintenance spending dropped 40% in 2024-2025 while fleet aged. Normalized based on CFMA equipment maintenance benchmarks for $15M contractor.</t>
        </is>
      </c>
    </row>
  </sheetData>
  <mergeCells count="8">
    <mergeCell ref="A50:E50"/>
    <mergeCell ref="A4:E4"/>
    <mergeCell ref="A48:E48"/>
    <mergeCell ref="A2:E2"/>
    <mergeCell ref="A49:E49"/>
    <mergeCell ref="A47:E47"/>
    <mergeCell ref="A1:E1"/>
    <mergeCell ref="A3:E3"/>
  </mergeCells>
  <pageMargins left="0.75" right="0.75" top="1" bottom="1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  <col width="24" customWidth="1" min="10" max="10"/>
    <col width="36" customWidth="1" min="11" max="11"/>
  </cols>
  <sheetData>
    <row r="1">
      <c r="A1" s="1" t="inlineStr">
        <is>
          <t>Acme Construction LLC — Add-Back Detail</t>
        </is>
      </c>
    </row>
    <row r="2">
      <c r="A2" s="3" t="inlineStr">
        <is>
          <t>Each add-back with category, evidence reference, QoE acceptance likelihood, and post-close treatment.</t>
        </is>
      </c>
    </row>
    <row r="3" ht="6" customHeight="1"/>
    <row r="4" ht="30" customHeight="1">
      <c r="A4" s="25" t="inlineStr">
        <is>
          <t>Category</t>
        </is>
      </c>
      <c r="B4" s="25" t="inlineStr">
        <is>
          <t>Description</t>
        </is>
      </c>
      <c r="C4" s="25" t="inlineStr">
        <is>
          <t>GL Account</t>
        </is>
      </c>
      <c r="D4" s="25" t="inlineStr">
        <is>
          <t>QoE Risk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  <c r="H4" s="5" t="inlineStr">
        <is>
          <t>LTM</t>
        </is>
      </c>
      <c r="I4" s="25" t="inlineStr">
        <is>
          <t>Evidence Reference</t>
        </is>
      </c>
      <c r="J4" s="25" t="inlineStr">
        <is>
          <t>Post-Close Treatment</t>
        </is>
      </c>
      <c r="K4" s="25" t="inlineStr">
        <is>
          <t>Notes / Rationale</t>
        </is>
      </c>
    </row>
    <row r="5">
      <c r="A5" s="17" t="inlineStr">
        <is>
          <t>Owner Compensation Excess</t>
        </is>
      </c>
      <c r="B5" s="17" t="inlineStr">
        <is>
          <t>Owner salary excess over market replacement ($400K actual vs. $225K market CEO for $15M contractor)</t>
        </is>
      </c>
      <c r="C5" s="17" t="inlineStr">
        <is>
          <t>6100 - Officer Salary</t>
        </is>
      </c>
      <c r="D5" s="26" t="inlineStr">
        <is>
          <t>Green</t>
        </is>
      </c>
      <c r="E5" s="18" t="n">
        <v>175000</v>
      </c>
      <c r="F5" s="18" t="n">
        <v>185000</v>
      </c>
      <c r="G5" s="18" t="n">
        <v>195000</v>
      </c>
      <c r="H5" s="18" t="n">
        <v>192000</v>
      </c>
      <c r="I5" s="17" t="inlineStr">
        <is>
          <t>Exhibit A-1: W-2, A-2: Robert Half salary survey</t>
        </is>
      </c>
      <c r="J5" s="17" t="inlineStr">
        <is>
          <t>Replaced at market rate ($225K)</t>
        </is>
      </c>
      <c r="K5" s="17" t="inlineStr">
        <is>
          <t>Owner W-2 verified by CPA. Market rate benchmarked against Robert Half 2025 Construction Industry Guide and CFMA survey.</t>
        </is>
      </c>
    </row>
    <row r="6">
      <c r="A6" s="27" t="inlineStr">
        <is>
          <t>Owner Payroll Tax &amp; Benefits on Excess</t>
        </is>
      </c>
      <c r="B6" s="27" t="inlineStr">
        <is>
          <t>Employer payroll tax on excess owner compensation (7.65% FICA)</t>
        </is>
      </c>
      <c r="C6" s="27" t="inlineStr">
        <is>
          <t>6120 - Payroll Taxes</t>
        </is>
      </c>
      <c r="D6" s="26" t="inlineStr">
        <is>
          <t>Green</t>
        </is>
      </c>
      <c r="E6" s="28" t="n">
        <v>13388</v>
      </c>
      <c r="F6" s="28" t="n">
        <v>14153</v>
      </c>
      <c r="G6" s="28" t="n">
        <v>14918</v>
      </c>
      <c r="H6" s="28" t="n">
        <v>14688</v>
      </c>
      <c r="I6" s="27" t="inlineStr">
        <is>
          <t>Exhibit A-1: Payroll records</t>
        </is>
      </c>
      <c r="J6" s="27" t="inlineStr">
        <is>
          <t>Eliminated with excess comp</t>
        </is>
      </c>
      <c r="K6" s="27" t="inlineStr">
        <is>
          <t>Calculated at 7.65% of excess salary add-back.</t>
        </is>
      </c>
    </row>
    <row r="7">
      <c r="A7" s="17" t="inlineStr">
        <is>
          <t>Family Member Salaries</t>
        </is>
      </c>
      <c r="B7" s="17" t="inlineStr">
        <is>
          <t>Owner's spouse — bookkeeper role, paid $85K vs. $45K market rate</t>
        </is>
      </c>
      <c r="C7" s="17" t="inlineStr">
        <is>
          <t>6200 - Office Salaries</t>
        </is>
      </c>
      <c r="D7" s="26" t="inlineStr">
        <is>
          <t>Green</t>
        </is>
      </c>
      <c r="E7" s="18" t="n">
        <v>40000</v>
      </c>
      <c r="F7" s="18" t="n">
        <v>40000</v>
      </c>
      <c r="G7" s="18" t="n">
        <v>40000</v>
      </c>
      <c r="H7" s="18" t="n">
        <v>40000</v>
      </c>
      <c r="I7" s="17" t="inlineStr">
        <is>
          <t>Exhibit B-1: W-2, B-2: Role description, B-3: Indeed salary data</t>
        </is>
      </c>
      <c r="J7" s="17" t="inlineStr">
        <is>
          <t>Replaced at market rate or eliminated</t>
        </is>
      </c>
      <c r="K7" s="17" t="inlineStr">
        <is>
          <t>Spouse works ~20 hrs/week on AP/AR. Market rate for part-time bookkeeper: $45K.</t>
        </is>
      </c>
    </row>
    <row r="8">
      <c r="A8" s="27" t="inlineStr">
        <is>
          <t>Family Member Salaries</t>
        </is>
      </c>
      <c r="B8" s="27" t="inlineStr">
        <is>
          <t>Owner's son — summer laborer, no documented hours or work product</t>
        </is>
      </c>
      <c r="C8" s="27" t="inlineStr">
        <is>
          <t>5100 - Direct Labor</t>
        </is>
      </c>
      <c r="D8" s="29" t="inlineStr">
        <is>
          <t>Yellow</t>
        </is>
      </c>
      <c r="E8" s="30" t="n">
        <v>18000</v>
      </c>
      <c r="F8" s="30" t="n">
        <v>22000</v>
      </c>
      <c r="G8" s="30" t="n">
        <v>0</v>
      </c>
      <c r="H8" s="30" t="n">
        <v>0</v>
      </c>
      <c r="I8" s="27" t="inlineStr">
        <is>
          <t>Exhibit B-1: 1099, B-2: No time records available</t>
        </is>
      </c>
      <c r="J8" s="27" t="inlineStr">
        <is>
          <t>Eliminated</t>
        </is>
      </c>
      <c r="K8" s="27" t="inlineStr">
        <is>
          <t>QoE may challenge — no work product documentation. 2025 and LTM show $0 as son started college.</t>
        </is>
      </c>
    </row>
    <row r="9">
      <c r="A9" s="31" t="n"/>
      <c r="B9" s="10" t="inlineStr">
        <is>
          <t>Subtotal: Family Member Salaries</t>
        </is>
      </c>
      <c r="C9" s="32" t="n"/>
      <c r="D9" s="32" t="n"/>
      <c r="E9" s="11">
        <f>SUM(E7:E8)</f>
        <v/>
      </c>
      <c r="F9" s="11">
        <f>SUM(F7:F8)</f>
        <v/>
      </c>
      <c r="G9" s="11">
        <f>SUM(G7:G8)</f>
        <v/>
      </c>
      <c r="H9" s="11">
        <f>SUM(H7:H8)</f>
        <v/>
      </c>
      <c r="I9" s="32" t="n"/>
      <c r="J9" s="32" t="n"/>
      <c r="K9" s="32" t="n"/>
    </row>
    <row r="10">
      <c r="A10" s="17" t="inlineStr">
        <is>
          <t>Personal Vehicles</t>
        </is>
      </c>
      <c r="B10" s="17" t="inlineStr">
        <is>
          <t>Owner's BMW X7 — lease, fuel, insurance, maintenance (personal use vehicle)</t>
        </is>
      </c>
      <c r="C10" s="17" t="inlineStr">
        <is>
          <t>6400 - Vehicle Expense</t>
        </is>
      </c>
      <c r="D10" s="26" t="inlineStr">
        <is>
          <t>Green</t>
        </is>
      </c>
      <c r="E10" s="18" t="n">
        <v>18500</v>
      </c>
      <c r="F10" s="18" t="n">
        <v>18500</v>
      </c>
      <c r="G10" s="18" t="n">
        <v>18500</v>
      </c>
      <c r="H10" s="18" t="n">
        <v>18500</v>
      </c>
      <c r="I10" s="17" t="inlineStr">
        <is>
          <t>Exhibit C-1: Vehicle inventory, lease agreement</t>
        </is>
      </c>
      <c r="J10" s="17" t="inlineStr">
        <is>
          <t>Eliminated — owner retains vehicle</t>
        </is>
      </c>
      <c r="K10" s="17" t="inlineStr">
        <is>
          <t>Separate from business fleet (3 F-350s, 2 cargo vans used on job sites). BMW used exclusively for commuting.</t>
        </is>
      </c>
    </row>
    <row r="11">
      <c r="A11" s="27" t="inlineStr">
        <is>
          <t>Personal Insurance</t>
        </is>
      </c>
      <c r="B11" s="27" t="inlineStr">
        <is>
          <t>Owner personal life insurance ($2M policy) + spouse health insurance</t>
        </is>
      </c>
      <c r="C11" s="27" t="inlineStr">
        <is>
          <t>6500 - Insurance Expense</t>
        </is>
      </c>
      <c r="D11" s="26" t="inlineStr">
        <is>
          <t>Green</t>
        </is>
      </c>
      <c r="E11" s="28" t="n">
        <v>14200</v>
      </c>
      <c r="F11" s="28" t="n">
        <v>15100</v>
      </c>
      <c r="G11" s="28" t="n">
        <v>16000</v>
      </c>
      <c r="H11" s="28" t="n">
        <v>15800</v>
      </c>
      <c r="I11" s="27" t="inlineStr">
        <is>
          <t>Exhibit C-2: Policy declarations</t>
        </is>
      </c>
      <c r="J11" s="27" t="inlineStr">
        <is>
          <t>Eliminated — owner retains policies personally</t>
        </is>
      </c>
      <c r="K11" s="27" t="inlineStr">
        <is>
          <t>Life insurance above standard group policy ($250K). Spouse health coverage separate from employee group plan.</t>
        </is>
      </c>
    </row>
    <row r="12">
      <c r="A12" s="17" t="inlineStr">
        <is>
          <t>Personal Travel &amp; Entertainment</t>
        </is>
      </c>
      <c r="B12" s="17" t="inlineStr">
        <is>
          <t>Owner personal travel &amp; entertainment (family vacation, country club dues, sporting events)</t>
        </is>
      </c>
      <c r="C12" s="17" t="inlineStr">
        <is>
          <t>6600 - Travel &amp; Entertainment</t>
        </is>
      </c>
      <c r="D12" s="29" t="inlineStr">
        <is>
          <t>Yellow</t>
        </is>
      </c>
      <c r="E12" s="20" t="n">
        <v>28000</v>
      </c>
      <c r="F12" s="20" t="n">
        <v>32000</v>
      </c>
      <c r="G12" s="20" t="n">
        <v>25000</v>
      </c>
      <c r="H12" s="20" t="n">
        <v>27000</v>
      </c>
      <c r="I12" s="17" t="inlineStr">
        <is>
          <t>Exhibit C-3: Credit card analysis, C-4: Country club invoice</t>
        </is>
      </c>
      <c r="J12" s="17" t="inlineStr">
        <is>
          <t>Eliminated</t>
        </is>
      </c>
      <c r="K12" s="17" t="inlineStr">
        <is>
          <t>Country club $12K/yr (100% add-back). Remaining T&amp;E split based on card statement analysis.</t>
        </is>
      </c>
    </row>
    <row r="13">
      <c r="A13" s="27" t="inlineStr">
        <is>
          <t>One-Time Legal/Professional Costs</t>
        </is>
      </c>
      <c r="B13" s="27" t="inlineStr">
        <is>
          <t>One-time lawsuit settlement — slip-and-fall at completed project site</t>
        </is>
      </c>
      <c r="C13" s="27" t="inlineStr">
        <is>
          <t>6700 - Legal &amp; Professional</t>
        </is>
      </c>
      <c r="D13" s="26" t="inlineStr">
        <is>
          <t>Green</t>
        </is>
      </c>
      <c r="E13" s="28" t="n">
        <v>0</v>
      </c>
      <c r="F13" s="28" t="n">
        <v>125000</v>
      </c>
      <c r="G13" s="28" t="n">
        <v>0</v>
      </c>
      <c r="H13" s="28" t="n">
        <v>0</v>
      </c>
      <c r="I13" s="27" t="inlineStr">
        <is>
          <t>Exhibit D-1: Settlement agreement, case closure letter</t>
        </is>
      </c>
      <c r="J13" s="27" t="inlineStr">
        <is>
          <t>Eliminated — matter closed, no ongoing liability</t>
        </is>
      </c>
      <c r="K13" s="27" t="inlineStr">
        <is>
          <t>Settled Q2 2024. Attorney confirmed case fully closed with mutual release. No similar pending claims.</t>
        </is>
      </c>
    </row>
    <row r="14">
      <c r="A14" s="17" t="inlineStr">
        <is>
          <t>One-Time Project Losses</t>
        </is>
      </c>
      <c r="B14" s="17" t="inlineStr">
        <is>
          <t>One-time loss on Harbor Point Retail project — subcontractor default required replacement mid-project</t>
        </is>
      </c>
      <c r="C14" s="17" t="inlineStr">
        <is>
          <t>5000 - Cost of Revenue (Project: HP-2025-004)</t>
        </is>
      </c>
      <c r="D14" s="29" t="inlineStr">
        <is>
          <t>Yellow</t>
        </is>
      </c>
      <c r="E14" s="20" t="n">
        <v>0</v>
      </c>
      <c r="F14" s="20" t="n">
        <v>0</v>
      </c>
      <c r="G14" s="20" t="n">
        <v>185000</v>
      </c>
      <c r="H14" s="20" t="n">
        <v>185000</v>
      </c>
      <c r="I14" s="17" t="inlineStr">
        <is>
          <t>Exhibit D-2: Project P&amp;L, subcontractor termination notice, replacement contract</t>
        </is>
      </c>
      <c r="J14" s="17" t="inlineStr">
        <is>
          <t>Non-recurring — subcontractor replaced, project completed</t>
        </is>
      </c>
      <c r="K14" s="17" t="inlineStr">
        <is>
          <t>Project showed -$185K loss vs. 12% estimated margin. Root cause: mechanical sub defaulted at 40% complete, replacement sub charged 35% premium for accelerated schedule.</t>
        </is>
      </c>
    </row>
    <row r="15">
      <c r="A15" s="27" t="inlineStr">
        <is>
          <t>Related-Party Rent Adjustment</t>
        </is>
      </c>
      <c r="B15" s="27" t="inlineStr">
        <is>
          <t>Excess rent paid to owner's LLC for shop/yard — $14K/mo paid vs. $10K/mo FMV</t>
        </is>
      </c>
      <c r="C15" s="27" t="inlineStr">
        <is>
          <t>6300 - Rent Expense</t>
        </is>
      </c>
      <c r="D15" s="26" t="inlineStr">
        <is>
          <t>Green</t>
        </is>
      </c>
      <c r="E15" s="28" t="n">
        <v>48000</v>
      </c>
      <c r="F15" s="28" t="n">
        <v>48000</v>
      </c>
      <c r="G15" s="28" t="n">
        <v>48000</v>
      </c>
      <c r="H15" s="28" t="n">
        <v>48000</v>
      </c>
      <c r="I15" s="27" t="inlineStr">
        <is>
          <t>Exhibit E-1: Lease agreement, E-2: 3 commercial rent comps</t>
        </is>
      </c>
      <c r="J15" s="27" t="inlineStr">
        <is>
          <t>Reduced to market rate ($10K/mo) or new lease negotiated</t>
        </is>
      </c>
      <c r="K15" s="27" t="inlineStr">
        <is>
          <t>Owner's RE LLC charges $14K/mo for 8,000 SF shop + 2-acre yard. Three comps show $9.5K-$10.5K/mo for similar industrial space. Excess = $4K/mo x 12.</t>
        </is>
      </c>
    </row>
    <row r="16">
      <c r="A16" s="17" t="inlineStr">
        <is>
          <t>Discretionary/Deferred Spending</t>
        </is>
      </c>
      <c r="B16" s="17" t="inlineStr">
        <is>
          <t>Deferred equipment maintenance — fleet age suggests $35K/yr normalized maintenance needed</t>
        </is>
      </c>
      <c r="C16" s="17" t="inlineStr">
        <is>
          <t>6450 - Equipment Maintenance</t>
        </is>
      </c>
      <c r="D16" s="33" t="inlineStr">
        <is>
          <t>Red</t>
        </is>
      </c>
      <c r="E16" s="20" t="n">
        <v>0</v>
      </c>
      <c r="F16" s="20" t="n">
        <v>-15000</v>
      </c>
      <c r="G16" s="20" t="n">
        <v>-25000</v>
      </c>
      <c r="H16" s="20" t="n">
        <v>-22000</v>
      </c>
      <c r="I16" s="17" t="inlineStr">
        <is>
          <t>Exhibit D-3: Fleet age analysis, industry maintenance benchmarks</t>
        </is>
      </c>
      <c r="J16" s="17" t="inlineStr">
        <is>
          <t>Normalized maintenance cost continues</t>
        </is>
      </c>
      <c r="K16" s="17" t="inlineStr">
        <is>
          <t>Proactive negative adjustment. QoE will identify this regardless — better to show it ourselves. Average fleet age: 6.2 years. Benchmark: $55K/yr maintenance; actual: $30K (2025).</t>
        </is>
      </c>
    </row>
    <row r="17">
      <c r="A17" s="34" t="n"/>
      <c r="B17" s="21" t="inlineStr">
        <is>
          <t>TOTAL ADD-BACKS</t>
        </is>
      </c>
      <c r="C17" s="34" t="n"/>
      <c r="D17" s="34" t="n"/>
      <c r="E17" s="22">
        <f>E5+E6+E7+E8+E10+E11+E12+E13+E14+E15+E16</f>
        <v/>
      </c>
      <c r="F17" s="22">
        <f>F5+F6+F7+F8+F10+F11+F12+F13+F14+F15+F16</f>
        <v/>
      </c>
      <c r="G17" s="22">
        <f>G5+G6+G7+G8+G10+G11+G12+G13+G14+G15+G16</f>
        <v/>
      </c>
      <c r="H17" s="22">
        <f>H5+H6+H7+H8+H10+H11+H12+H13+H14+H15+H16</f>
        <v/>
      </c>
      <c r="I17" s="34" t="n"/>
      <c r="J17" s="34" t="n"/>
      <c r="K17" s="34" t="n"/>
    </row>
  </sheetData>
  <autoFilter ref="A4:K17"/>
  <mergeCells count="2">
    <mergeCell ref="A2:K2"/>
    <mergeCell ref="A1:K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I3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4" customWidth="1" min="5" max="5"/>
    <col width="38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Acme Construction LLC — Value Impact Calculator</t>
        </is>
      </c>
    </row>
    <row r="2">
      <c r="A2" s="3" t="inlineStr">
        <is>
          <t>Normalized EBITDA x multiple range = enterprise value. Shows what each add-back is worth.</t>
        </is>
      </c>
    </row>
    <row r="3" ht="6" customHeight="1"/>
    <row r="4">
      <c r="A4" s="35" t="inlineStr">
        <is>
          <t>ENTERPRISE VALUE RANGE</t>
        </is>
      </c>
    </row>
    <row r="5">
      <c r="A5" s="25" t="n"/>
      <c r="B5" s="5" t="inlineStr">
        <is>
          <t>Low (4.5x)</t>
        </is>
      </c>
      <c r="C5" s="5" t="inlineStr">
        <is>
          <t>Mid (5.5x)</t>
        </is>
      </c>
      <c r="D5" s="5" t="inlineStr">
        <is>
          <t>High (6.5x)</t>
        </is>
      </c>
    </row>
    <row r="6">
      <c r="A6" s="36" t="inlineStr">
        <is>
          <t>Normalized EBITDA (LTM)</t>
        </is>
      </c>
      <c r="B6" s="37">
        <f>'EBITDA Bridge'!E42</f>
        <v/>
      </c>
      <c r="C6" s="37">
        <f>'EBITDA Bridge'!E42</f>
        <v/>
      </c>
      <c r="D6" s="37">
        <f>'EBITDA Bridge'!E42</f>
        <v/>
      </c>
    </row>
    <row r="7">
      <c r="A7" s="17" t="inlineStr">
        <is>
          <t>Applied Multiple</t>
        </is>
      </c>
      <c r="B7" s="38" t="n">
        <v>4.5</v>
      </c>
      <c r="C7" s="38" t="n">
        <v>5.5</v>
      </c>
      <c r="D7" s="38" t="n">
        <v>6.5</v>
      </c>
    </row>
    <row r="8">
      <c r="A8" s="21" t="inlineStr">
        <is>
          <t>Enterprise Value</t>
        </is>
      </c>
      <c r="B8" s="22">
        <f>B6*B7</f>
        <v/>
      </c>
      <c r="C8" s="22">
        <f>C6*C7</f>
        <v/>
      </c>
      <c r="D8" s="22">
        <f>D6*D7</f>
        <v/>
      </c>
    </row>
    <row r="10">
      <c r="A10" s="35" t="inlineStr">
        <is>
          <t>ADD-BACK VALUE IMPACT</t>
        </is>
      </c>
      <c r="F10" s="35" t="inlineStr">
        <is>
          <t>WHAT-IF: IF ADD-BACK IS CHALLENGED</t>
        </is>
      </c>
    </row>
    <row r="11">
      <c r="A11" s="25" t="inlineStr">
        <is>
          <t>Add-Back</t>
        </is>
      </c>
      <c r="B11" s="5" t="inlineStr">
        <is>
          <t>Amount (LTM)</t>
        </is>
      </c>
      <c r="C11" s="5" t="inlineStr">
        <is>
          <t>Value at 4.5x</t>
        </is>
      </c>
      <c r="D11" s="5" t="inlineStr">
        <is>
          <t>Value at 6.5x</t>
        </is>
      </c>
      <c r="F11" s="25" t="inlineStr">
        <is>
          <t>Add-Back</t>
        </is>
      </c>
      <c r="G11" s="5" t="inlineStr">
        <is>
          <t>If Rejected: EV Loss (Low)</t>
        </is>
      </c>
      <c r="H11" s="5" t="inlineStr">
        <is>
          <t>If Rejected: EV Loss (Mid)</t>
        </is>
      </c>
      <c r="I11" s="5" t="inlineStr">
        <is>
          <t>If Rejected: EV Loss (High)</t>
        </is>
      </c>
    </row>
    <row r="12">
      <c r="A12" s="17" t="inlineStr">
        <is>
          <t>Owner salary excess over market replacement ($400K actual vs</t>
        </is>
      </c>
      <c r="B12" s="18" t="n">
        <v>192000</v>
      </c>
      <c r="C12" s="37">
        <f>B12*B7</f>
        <v/>
      </c>
      <c r="D12" s="37">
        <f>B12*D7</f>
        <v/>
      </c>
      <c r="F12" s="17" t="inlineStr">
        <is>
          <t>Owner salary excess over market replacement ($400K actual vs</t>
        </is>
      </c>
      <c r="G12" s="39">
        <f>-B12*B7</f>
        <v/>
      </c>
      <c r="H12" s="39">
        <f>-B12*C7</f>
        <v/>
      </c>
      <c r="I12" s="39">
        <f>-B12*D7</f>
        <v/>
      </c>
    </row>
    <row r="13">
      <c r="A13" s="27" t="inlineStr">
        <is>
          <t>Employer payroll tax on excess owner compensation (7.65% FIC</t>
        </is>
      </c>
      <c r="B13" s="28" t="n">
        <v>14688</v>
      </c>
      <c r="C13" s="40">
        <f>B13*B7</f>
        <v/>
      </c>
      <c r="D13" s="40">
        <f>B13*D7</f>
        <v/>
      </c>
      <c r="F13" s="27" t="inlineStr">
        <is>
          <t>Employer payroll tax on excess owner compensation (7.65% FIC</t>
        </is>
      </c>
      <c r="G13" s="41">
        <f>-B13*B7</f>
        <v/>
      </c>
      <c r="H13" s="41">
        <f>-B13*C7</f>
        <v/>
      </c>
      <c r="I13" s="41">
        <f>-B13*D7</f>
        <v/>
      </c>
    </row>
    <row r="14">
      <c r="A14" s="17" t="inlineStr">
        <is>
          <t xml:space="preserve">Owner's spouse — bookkeeper role, paid $85K vs. $45K market </t>
        </is>
      </c>
      <c r="B14" s="18" t="n">
        <v>40000</v>
      </c>
      <c r="C14" s="37">
        <f>B14*B7</f>
        <v/>
      </c>
      <c r="D14" s="37">
        <f>B14*D7</f>
        <v/>
      </c>
      <c r="F14" s="17" t="inlineStr">
        <is>
          <t xml:space="preserve">Owner's spouse — bookkeeper role, paid $85K vs. $45K market </t>
        </is>
      </c>
      <c r="G14" s="39">
        <f>-B14*B7</f>
        <v/>
      </c>
      <c r="H14" s="39">
        <f>-B14*C7</f>
        <v/>
      </c>
      <c r="I14" s="39">
        <f>-B14*D7</f>
        <v/>
      </c>
    </row>
    <row r="15">
      <c r="A15" s="27" t="inlineStr">
        <is>
          <t>Owner's son — summer laborer, no documented hours or work pr</t>
        </is>
      </c>
      <c r="B15" s="28" t="n">
        <v>0</v>
      </c>
      <c r="C15" s="40">
        <f>B15*B7</f>
        <v/>
      </c>
      <c r="D15" s="40">
        <f>B15*D7</f>
        <v/>
      </c>
      <c r="F15" s="27" t="inlineStr">
        <is>
          <t>Owner's son — summer laborer, no documented hours or work pr</t>
        </is>
      </c>
      <c r="G15" s="41">
        <f>-B15*B7</f>
        <v/>
      </c>
      <c r="H15" s="41">
        <f>-B15*C7</f>
        <v/>
      </c>
      <c r="I15" s="41">
        <f>-B15*D7</f>
        <v/>
      </c>
    </row>
    <row r="16">
      <c r="A16" s="17" t="inlineStr">
        <is>
          <t>Owner's BMW X7 — lease, fuel, insurance, maintenance (person</t>
        </is>
      </c>
      <c r="B16" s="18" t="n">
        <v>18500</v>
      </c>
      <c r="C16" s="37">
        <f>B16*B7</f>
        <v/>
      </c>
      <c r="D16" s="37">
        <f>B16*D7</f>
        <v/>
      </c>
      <c r="F16" s="17" t="inlineStr">
        <is>
          <t>Owner's BMW X7 — lease, fuel, insurance, maintenance (person</t>
        </is>
      </c>
      <c r="G16" s="39">
        <f>-B16*B7</f>
        <v/>
      </c>
      <c r="H16" s="39">
        <f>-B16*C7</f>
        <v/>
      </c>
      <c r="I16" s="39">
        <f>-B16*D7</f>
        <v/>
      </c>
    </row>
    <row r="17">
      <c r="A17" s="27" t="inlineStr">
        <is>
          <t>Owner personal life insurance ($2M policy) + spouse health i</t>
        </is>
      </c>
      <c r="B17" s="28" t="n">
        <v>15800</v>
      </c>
      <c r="C17" s="40">
        <f>B17*B7</f>
        <v/>
      </c>
      <c r="D17" s="40">
        <f>B17*D7</f>
        <v/>
      </c>
      <c r="F17" s="27" t="inlineStr">
        <is>
          <t>Owner personal life insurance ($2M policy) + spouse health i</t>
        </is>
      </c>
      <c r="G17" s="41">
        <f>-B17*B7</f>
        <v/>
      </c>
      <c r="H17" s="41">
        <f>-B17*C7</f>
        <v/>
      </c>
      <c r="I17" s="41">
        <f>-B17*D7</f>
        <v/>
      </c>
    </row>
    <row r="18">
      <c r="A18" s="17" t="inlineStr">
        <is>
          <t>Owner personal travel &amp; entertainment (family vacation, coun</t>
        </is>
      </c>
      <c r="B18" s="18" t="n">
        <v>27000</v>
      </c>
      <c r="C18" s="37">
        <f>B18*B7</f>
        <v/>
      </c>
      <c r="D18" s="37">
        <f>B18*D7</f>
        <v/>
      </c>
      <c r="F18" s="17" t="inlineStr">
        <is>
          <t>Owner personal travel &amp; entertainment (family vacation, coun</t>
        </is>
      </c>
      <c r="G18" s="39">
        <f>-B18*B7</f>
        <v/>
      </c>
      <c r="H18" s="39">
        <f>-B18*C7</f>
        <v/>
      </c>
      <c r="I18" s="39">
        <f>-B18*D7</f>
        <v/>
      </c>
    </row>
    <row r="19">
      <c r="A19" s="27" t="inlineStr">
        <is>
          <t>One-time lawsuit settlement — slip-and-fall at completed pro</t>
        </is>
      </c>
      <c r="B19" s="28" t="n">
        <v>0</v>
      </c>
      <c r="C19" s="40">
        <f>B19*B7</f>
        <v/>
      </c>
      <c r="D19" s="40">
        <f>B19*D7</f>
        <v/>
      </c>
      <c r="F19" s="27" t="inlineStr">
        <is>
          <t>One-time lawsuit settlement — slip-and-fall at completed pro</t>
        </is>
      </c>
      <c r="G19" s="41">
        <f>-B19*B7</f>
        <v/>
      </c>
      <c r="H19" s="41">
        <f>-B19*C7</f>
        <v/>
      </c>
      <c r="I19" s="41">
        <f>-B19*D7</f>
        <v/>
      </c>
    </row>
    <row r="20">
      <c r="A20" s="17" t="inlineStr">
        <is>
          <t>One-time loss on Harbor Point Retail project — subcontractor</t>
        </is>
      </c>
      <c r="B20" s="18" t="n">
        <v>185000</v>
      </c>
      <c r="C20" s="37">
        <f>B20*B7</f>
        <v/>
      </c>
      <c r="D20" s="37">
        <f>B20*D7</f>
        <v/>
      </c>
      <c r="F20" s="17" t="inlineStr">
        <is>
          <t>One-time loss on Harbor Point Retail project — subcontractor</t>
        </is>
      </c>
      <c r="G20" s="39">
        <f>-B20*B7</f>
        <v/>
      </c>
      <c r="H20" s="39">
        <f>-B20*C7</f>
        <v/>
      </c>
      <c r="I20" s="39">
        <f>-B20*D7</f>
        <v/>
      </c>
    </row>
    <row r="21">
      <c r="A21" s="27" t="inlineStr">
        <is>
          <t>Excess rent paid to owner's LLC for shop/yard — $14K/mo paid</t>
        </is>
      </c>
      <c r="B21" s="28" t="n">
        <v>48000</v>
      </c>
      <c r="C21" s="40">
        <f>B21*B7</f>
        <v/>
      </c>
      <c r="D21" s="40">
        <f>B21*D7</f>
        <v/>
      </c>
      <c r="F21" s="27" t="inlineStr">
        <is>
          <t>Excess rent paid to owner's LLC for shop/yard — $14K/mo paid</t>
        </is>
      </c>
      <c r="G21" s="41">
        <f>-B21*B7</f>
        <v/>
      </c>
      <c r="H21" s="41">
        <f>-B21*C7</f>
        <v/>
      </c>
      <c r="I21" s="41">
        <f>-B21*D7</f>
        <v/>
      </c>
    </row>
    <row r="22">
      <c r="A22" s="17" t="inlineStr">
        <is>
          <t xml:space="preserve">Deferred equipment maintenance — fleet age suggests $35K/yr </t>
        </is>
      </c>
      <c r="B22" s="18" t="n">
        <v>-22000</v>
      </c>
      <c r="C22" s="37">
        <f>B22*B7</f>
        <v/>
      </c>
      <c r="D22" s="37">
        <f>B22*D7</f>
        <v/>
      </c>
      <c r="F22" s="17" t="inlineStr">
        <is>
          <t xml:space="preserve">Deferred equipment maintenance — fleet age suggests $35K/yr </t>
        </is>
      </c>
      <c r="G22" s="39">
        <f>-B22*B7</f>
        <v/>
      </c>
      <c r="H22" s="39">
        <f>-B22*C7</f>
        <v/>
      </c>
      <c r="I22" s="39">
        <f>-B22*D7</f>
        <v/>
      </c>
    </row>
    <row r="23">
      <c r="A23" s="42" t="inlineStr">
        <is>
          <t>Total Add-Back Value Impact</t>
        </is>
      </c>
      <c r="B23" s="43">
        <f>SUM(B12:B22)</f>
        <v/>
      </c>
      <c r="C23" s="43">
        <f>SUM(C12:C22)</f>
        <v/>
      </c>
      <c r="D23" s="43">
        <f>SUM(D12:D22)</f>
        <v/>
      </c>
      <c r="F23" s="42" t="inlineStr">
        <is>
          <t>Total EV at Risk if ALL Challenged</t>
        </is>
      </c>
      <c r="G23" s="44">
        <f>SUM(G12:G22)</f>
        <v/>
      </c>
      <c r="H23" s="44">
        <f>SUM(H12:H22)</f>
        <v/>
      </c>
      <c r="I23" s="44">
        <f>SUM(I12:I22)</f>
        <v/>
      </c>
    </row>
    <row r="25">
      <c r="A25" s="35" t="inlineStr">
        <is>
          <t>SENSITIVITY: EBITDA x MULTIPLE MATRIX</t>
        </is>
      </c>
    </row>
    <row r="26">
      <c r="A26" s="25" t="inlineStr">
        <is>
          <t>EBITDA Scenario</t>
        </is>
      </c>
      <c r="B26" s="5" t="inlineStr">
        <is>
          <t>4.5x</t>
        </is>
      </c>
      <c r="C26" s="5" t="inlineStr">
        <is>
          <t>5.0x</t>
        </is>
      </c>
      <c r="D26" s="5" t="inlineStr">
        <is>
          <t>5.5x</t>
        </is>
      </c>
      <c r="E26" s="5" t="inlineStr">
        <is>
          <t>6.0x</t>
        </is>
      </c>
      <c r="F26" s="5" t="inlineStr">
        <is>
          <t>6.5x</t>
        </is>
      </c>
    </row>
    <row r="27">
      <c r="A27" s="17" t="inlineStr">
        <is>
          <t>Base -10%</t>
        </is>
      </c>
      <c r="B27" s="37">
        <f>B6*0.9*4.5</f>
        <v/>
      </c>
      <c r="C27" s="37">
        <f>B6*0.9*5.0</f>
        <v/>
      </c>
      <c r="D27" s="37">
        <f>B6*0.9*5.5</f>
        <v/>
      </c>
      <c r="E27" s="37">
        <f>B6*0.9*6.0</f>
        <v/>
      </c>
      <c r="F27" s="37">
        <f>B6*0.9*6.5</f>
        <v/>
      </c>
    </row>
    <row r="28">
      <c r="A28" s="27" t="inlineStr">
        <is>
          <t>Base -5%</t>
        </is>
      </c>
      <c r="B28" s="40">
        <f>B6*0.95*4.5</f>
        <v/>
      </c>
      <c r="C28" s="40">
        <f>B6*0.95*5.0</f>
        <v/>
      </c>
      <c r="D28" s="40">
        <f>B6*0.95*5.5</f>
        <v/>
      </c>
      <c r="E28" s="40">
        <f>B6*0.95*6.0</f>
        <v/>
      </c>
      <c r="F28" s="40">
        <f>B6*0.95*6.5</f>
        <v/>
      </c>
    </row>
    <row r="29">
      <c r="A29" s="36" t="inlineStr">
        <is>
          <t>Base</t>
        </is>
      </c>
      <c r="B29" s="45">
        <f>B6*1.0*4.5</f>
        <v/>
      </c>
      <c r="C29" s="45">
        <f>B6*1.0*5.0</f>
        <v/>
      </c>
      <c r="D29" s="45">
        <f>B6*1.0*5.5</f>
        <v/>
      </c>
      <c r="E29" s="45">
        <f>B6*1.0*6.0</f>
        <v/>
      </c>
      <c r="F29" s="45">
        <f>B6*1.0*6.5</f>
        <v/>
      </c>
    </row>
    <row r="30">
      <c r="A30" s="27" t="inlineStr">
        <is>
          <t>Base +5%</t>
        </is>
      </c>
      <c r="B30" s="40">
        <f>B6*1.05*4.5</f>
        <v/>
      </c>
      <c r="C30" s="40">
        <f>B6*1.05*5.0</f>
        <v/>
      </c>
      <c r="D30" s="40">
        <f>B6*1.05*5.5</f>
        <v/>
      </c>
      <c r="E30" s="40">
        <f>B6*1.05*6.0</f>
        <v/>
      </c>
      <c r="F30" s="40">
        <f>B6*1.05*6.5</f>
        <v/>
      </c>
    </row>
    <row r="31">
      <c r="A31" s="17" t="inlineStr">
        <is>
          <t>Base +10%</t>
        </is>
      </c>
      <c r="B31" s="37">
        <f>B6*1.1*4.5</f>
        <v/>
      </c>
      <c r="C31" s="37">
        <f>B6*1.1*5.0</f>
        <v/>
      </c>
      <c r="D31" s="37">
        <f>B6*1.1*5.5</f>
        <v/>
      </c>
      <c r="E31" s="37">
        <f>B6*1.1*6.0</f>
        <v/>
      </c>
      <c r="F31" s="37">
        <f>B6*1.1*6.5</f>
        <v/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1404 Labs</dc:creator>
  <dc:title xmlns:dc="http://purl.org/dc/elements/1.1/">EBITDA/SDE Normalization</dc:title>
  <dcterms:created xmlns:dcterms="http://purl.org/dc/terms/" xmlns:xsi="http://www.w3.org/2001/XMLSchema-instance" xsi:type="dcterms:W3CDTF">2026-04-07T22:01:47Z</dcterms:created>
  <dcterms:modified xmlns:dcterms="http://purl.org/dc/terms/" xmlns:xsi="http://www.w3.org/2001/XMLSchema-instance" xsi:type="dcterms:W3CDTF">2026-04-07T22:01:47Z</dcterms:modified>
</cp:coreProperties>
</file>