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ading Chart" sheetId="2" state="visible" r:id="rId2"/>
    <sheet xmlns:r="http://schemas.openxmlformats.org/officeDocument/2006/relationships" name="Apprentice Ratio Monitor" sheetId="3" state="visible" r:id="rId3"/>
  </sheets>
  <definedNames>
    <definedName name="_xlnm.Print_Titles" localSheetId="1">'Loading Chart'!$1:$6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111010"/>
      <sz val="11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0"/>
    </font>
  </fonts>
  <fills count="5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3" fontId="8" fillId="0" borderId="2" applyAlignment="1" pivotButton="0" quotePrefix="0" xfId="0">
      <alignment horizontal="right" vertical="center" wrapText="1"/>
    </xf>
    <xf numFmtId="164" fontId="8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right" vertical="center" wrapText="1"/>
    </xf>
    <xf numFmtId="164" fontId="8" fillId="3" borderId="2" applyAlignment="1" pivotButton="0" quotePrefix="0" xfId="0">
      <alignment horizontal="right" vertical="center" wrapText="1"/>
    </xf>
    <xf numFmtId="0" fontId="8" fillId="3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3" fontId="9" fillId="0" borderId="3" applyAlignment="1" pivotButton="0" quotePrefix="0" xfId="0">
      <alignment horizontal="right" vertical="center" wrapText="1"/>
    </xf>
    <xf numFmtId="164" fontId="9" fillId="0" borderId="3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3" fontId="9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65" fontId="8" fillId="0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3" fontId="8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b val="1"/>
        <color rgb="00059669"/>
      </font>
      <fill>
        <patternFill patternType="solid">
          <fgColor rgb="00D1FAE5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  <dxf>
      <font>
        <color rgb="006B7280"/>
      </font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Douglas Electric</t>
        </is>
      </c>
    </row>
    <row r="2">
      <c r="A2" s="2" t="inlineStr">
        <is>
          <t>Manpower Loading Chart</t>
        </is>
      </c>
    </row>
    <row r="3">
      <c r="A3" s="3" t="inlineStr">
        <is>
          <t>Report Date: 2026-04-07</t>
        </is>
      </c>
    </row>
    <row r="4" ht="6" customHeight="1"/>
    <row r="5">
      <c r="A5" s="4" t="inlineStr">
        <is>
          <t>KEY METRICS</t>
        </is>
      </c>
    </row>
    <row r="6">
      <c r="A6" s="5" t="inlineStr">
        <is>
          <t>Total Headcount (Week 1)</t>
        </is>
      </c>
      <c r="B6" s="6">
        <f>'Loading Chart'!C37</f>
        <v/>
      </c>
    </row>
    <row r="7">
      <c r="A7" s="5" t="inlineStr">
        <is>
          <t>Total Projects</t>
        </is>
      </c>
      <c r="B7" s="6">
        <f>COUNTA(A12:A17)</f>
        <v/>
      </c>
    </row>
    <row r="8">
      <c r="A8" s="5" t="inlineStr">
        <is>
          <t>Avg Utilization %</t>
        </is>
      </c>
      <c r="B8" s="7">
        <f>IF(C18=0,0,D18/C18)</f>
        <v/>
      </c>
    </row>
    <row r="9">
      <c r="A9" s="5" t="inlineStr">
        <is>
          <t>Over/Under-staffed Projects</t>
        </is>
      </c>
      <c r="B9" s="8">
        <f>COUNTIF(G12:G17,"Over-staffed")&amp;" over / "&amp;COUNTIF(G12:G17,"Under-staffed")&amp;" under"</f>
        <v/>
      </c>
    </row>
    <row r="10">
      <c r="A10" s="4" t="inlineStr">
        <is>
          <t>PROJECT SUMMARY</t>
        </is>
      </c>
    </row>
    <row r="11">
      <c r="A11" s="9" t="inlineStr">
        <is>
          <t>Project Name</t>
        </is>
      </c>
      <c r="B11" s="9" t="inlineStr">
        <is>
          <t>Status</t>
        </is>
      </c>
      <c r="C11" s="10" t="inlineStr">
        <is>
          <t>Total Planned Hours</t>
        </is>
      </c>
      <c r="D11" s="10" t="inlineStr">
        <is>
          <t>Total Actual Hours</t>
        </is>
      </c>
      <c r="E11" s="10" t="inlineStr">
        <is>
          <t>Variance</t>
        </is>
      </c>
      <c r="F11" s="10" t="inlineStr">
        <is>
          <t>Variance %</t>
        </is>
      </c>
      <c r="G11" s="10" t="inlineStr">
        <is>
          <t>Health</t>
        </is>
      </c>
    </row>
    <row r="12">
      <c r="A12" s="11" t="inlineStr">
        <is>
          <t>Rivian Plant Phase 3</t>
        </is>
      </c>
      <c r="B12" s="12" t="inlineStr">
        <is>
          <t>Active</t>
        </is>
      </c>
      <c r="C12" s="6">
        <f>SUM('Loading Chart'!C11:N11)*40</f>
        <v/>
      </c>
      <c r="D12" s="13" t="n">
        <v>4200</v>
      </c>
      <c r="E12" s="6">
        <f>C12-D12</f>
        <v/>
      </c>
      <c r="F12" s="7">
        <f>IF(C12=0,0,E12/C12)</f>
        <v/>
      </c>
      <c r="G12" s="14">
        <f>IF(ABS(F12)&lt;=0.05,"On Track",IF(F12&gt;0,"Under-staffed","Over-staffed"))</f>
        <v/>
      </c>
    </row>
    <row r="13">
      <c r="A13" s="15" t="inlineStr">
        <is>
          <t>Mercy Hospital MRI Suite</t>
        </is>
      </c>
      <c r="B13" s="16" t="inlineStr">
        <is>
          <t>Active</t>
        </is>
      </c>
      <c r="C13" s="17">
        <f>SUM('Loading Chart'!C16:N16)*40</f>
        <v/>
      </c>
      <c r="D13" s="18" t="n">
        <v>1800</v>
      </c>
      <c r="E13" s="17">
        <f>C13-D13</f>
        <v/>
      </c>
      <c r="F13" s="19">
        <f>IF(C13=0,0,E13/C13)</f>
        <v/>
      </c>
      <c r="G13" s="20">
        <f>IF(ABS(F13)&lt;=0.05,"On Track",IF(F13&gt;0,"Under-staffed","Over-staffed"))</f>
        <v/>
      </c>
    </row>
    <row r="14">
      <c r="A14" s="11" t="inlineStr">
        <is>
          <t>Target Store #4412 Remodel</t>
        </is>
      </c>
      <c r="B14" s="12" t="inlineStr">
        <is>
          <t>Active</t>
        </is>
      </c>
      <c r="C14" s="6">
        <f>SUM('Loading Chart'!C21:N21)*40</f>
        <v/>
      </c>
      <c r="D14" s="13" t="n">
        <v>960</v>
      </c>
      <c r="E14" s="6">
        <f>C14-D14</f>
        <v/>
      </c>
      <c r="F14" s="7">
        <f>IF(C14=0,0,E14/C14)</f>
        <v/>
      </c>
      <c r="G14" s="14">
        <f>IF(ABS(F14)&lt;=0.05,"On Track",IF(F14&gt;0,"Under-staffed","Over-staffed"))</f>
        <v/>
      </c>
    </row>
    <row r="15">
      <c r="A15" s="15" t="inlineStr">
        <is>
          <t>Applebee's Service Call</t>
        </is>
      </c>
      <c r="B15" s="16" t="inlineStr">
        <is>
          <t>Winding Down</t>
        </is>
      </c>
      <c r="C15" s="17">
        <f>SUM('Loading Chart'!C26:N26)*40</f>
        <v/>
      </c>
      <c r="D15" s="18" t="n">
        <v>320</v>
      </c>
      <c r="E15" s="17">
        <f>C15-D15</f>
        <v/>
      </c>
      <c r="F15" s="19">
        <f>IF(C15=0,0,E15/C15)</f>
        <v/>
      </c>
      <c r="G15" s="20">
        <f>IF(ABS(F15)&lt;=0.05,"On Track",IF(F15&gt;0,"Under-staffed","Over-staffed"))</f>
        <v/>
      </c>
    </row>
    <row r="16">
      <c r="A16" s="11" t="inlineStr">
        <is>
          <t>Data Center Build-Out</t>
        </is>
      </c>
      <c r="B16" s="12" t="inlineStr">
        <is>
          <t>Mobilizing</t>
        </is>
      </c>
      <c r="C16" s="6">
        <f>SUM('Loading Chart'!C31:N31)*40</f>
        <v/>
      </c>
      <c r="D16" s="13" t="n">
        <v>0</v>
      </c>
      <c r="E16" s="6">
        <f>C16-D16</f>
        <v/>
      </c>
      <c r="F16" s="7">
        <f>IF(C16=0,0,E16/C16)</f>
        <v/>
      </c>
      <c r="G16" s="14">
        <f>IF(ABS(F16)&lt;=0.05,"On Track",IF(F16&gt;0,"Under-staffed","Over-staffed"))</f>
        <v/>
      </c>
    </row>
    <row r="17">
      <c r="A17" s="15" t="inlineStr">
        <is>
          <t>EV Charging Station - Walmart</t>
        </is>
      </c>
      <c r="B17" s="16" t="inlineStr">
        <is>
          <t>Mobilizing</t>
        </is>
      </c>
      <c r="C17" s="17">
        <f>SUM('Loading Chart'!C36:N36)*40</f>
        <v/>
      </c>
      <c r="D17" s="18" t="n">
        <v>0</v>
      </c>
      <c r="E17" s="17">
        <f>C17-D17</f>
        <v/>
      </c>
      <c r="F17" s="19">
        <f>IF(C17=0,0,E17/C17)</f>
        <v/>
      </c>
      <c r="G17" s="20">
        <f>IF(ABS(F17)&lt;=0.05,"On Track",IF(F17&gt;0,"Under-staffed","Over-staffed"))</f>
        <v/>
      </c>
    </row>
    <row r="18">
      <c r="A18" s="21" t="inlineStr">
        <is>
          <t>TOTAL</t>
        </is>
      </c>
      <c r="B18" s="22" t="n"/>
      <c r="C18" s="23">
        <f>SUM(C12:C17)</f>
        <v/>
      </c>
      <c r="D18" s="23">
        <f>SUM(D12:D17)</f>
        <v/>
      </c>
      <c r="E18" s="23">
        <f>C18-D18</f>
        <v/>
      </c>
      <c r="F18" s="24">
        <f>IF(C18=0,0,E18/C18)</f>
        <v/>
      </c>
      <c r="G18" s="22" t="n"/>
    </row>
  </sheetData>
  <mergeCells count="3">
    <mergeCell ref="A3:F3"/>
    <mergeCell ref="A2:F2"/>
    <mergeCell ref="A1:F1"/>
  </mergeCells>
  <conditionalFormatting sqref="G12:G17">
    <cfRule type="cellIs" priority="1" operator="equal" dxfId="0">
      <formula>"On Track"</formula>
    </cfRule>
    <cfRule type="cellIs" priority="2" operator="equal" dxfId="1">
      <formula>"Over-staffed"</formula>
    </cfRule>
    <cfRule type="cellIs" priority="3" operator="equal" dxfId="2">
      <formula>"Under-staffed"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N4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Douglas Electric</t>
        </is>
      </c>
    </row>
    <row r="2">
      <c r="A2" s="2" t="inlineStr">
        <is>
          <t>Manpower Loading Chart</t>
        </is>
      </c>
    </row>
    <row r="3">
      <c r="A3" s="3" t="inlineStr">
        <is>
          <t>Report Date: 2026-04-07</t>
        </is>
      </c>
    </row>
    <row r="4" ht="6" customHeight="1"/>
    <row r="5" ht="6" customHeight="1"/>
    <row r="6">
      <c r="A6" s="9" t="inlineStr">
        <is>
          <t>Project</t>
        </is>
      </c>
      <c r="B6" s="25" t="inlineStr">
        <is>
          <t>Class</t>
        </is>
      </c>
      <c r="C6" s="25" t="inlineStr">
        <is>
          <t>2026-04-06</t>
        </is>
      </c>
      <c r="D6" s="25" t="inlineStr">
        <is>
          <t>2026-04-13</t>
        </is>
      </c>
      <c r="E6" s="25" t="inlineStr">
        <is>
          <t>2026-04-20</t>
        </is>
      </c>
      <c r="F6" s="25" t="inlineStr">
        <is>
          <t>2026-04-27</t>
        </is>
      </c>
      <c r="G6" s="25" t="inlineStr">
        <is>
          <t>2026-05-04</t>
        </is>
      </c>
      <c r="H6" s="25" t="inlineStr">
        <is>
          <t>2026-05-11</t>
        </is>
      </c>
      <c r="I6" s="25" t="inlineStr">
        <is>
          <t>2026-05-18</t>
        </is>
      </c>
      <c r="J6" s="25" t="inlineStr">
        <is>
          <t>2026-05-25</t>
        </is>
      </c>
      <c r="K6" s="25" t="inlineStr">
        <is>
          <t>2026-06-01</t>
        </is>
      </c>
      <c r="L6" s="25" t="inlineStr">
        <is>
          <t>2026-06-08</t>
        </is>
      </c>
      <c r="M6" s="25" t="inlineStr">
        <is>
          <t>2026-06-15</t>
        </is>
      </c>
      <c r="N6" s="25" t="inlineStr">
        <is>
          <t>2026-06-22</t>
        </is>
      </c>
    </row>
    <row r="7">
      <c r="A7" s="26" t="inlineStr">
        <is>
          <t>Rivian Plant Phase 3</t>
        </is>
      </c>
      <c r="B7" s="27" t="inlineStr">
        <is>
          <t>DE-2026-001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>
      <c r="A8" s="29" t="n"/>
      <c r="B8" s="30" t="inlineStr">
        <is>
          <t>JW</t>
        </is>
      </c>
      <c r="C8" s="31" t="n">
        <v>8</v>
      </c>
      <c r="D8" s="31" t="n">
        <v>8</v>
      </c>
      <c r="E8" s="31" t="n">
        <v>10</v>
      </c>
      <c r="F8" s="31" t="n">
        <v>10</v>
      </c>
      <c r="G8" s="31" t="n">
        <v>12</v>
      </c>
      <c r="H8" s="31" t="n">
        <v>12</v>
      </c>
      <c r="I8" s="31" t="n">
        <v>12</v>
      </c>
      <c r="J8" s="31" t="n">
        <v>14</v>
      </c>
      <c r="K8" s="31" t="n">
        <v>14</v>
      </c>
      <c r="L8" s="31" t="n">
        <v>14</v>
      </c>
      <c r="M8" s="31" t="n">
        <v>12</v>
      </c>
      <c r="N8" s="31" t="n">
        <v>10</v>
      </c>
    </row>
    <row r="9">
      <c r="A9" s="29" t="n"/>
      <c r="B9" s="30" t="inlineStr">
        <is>
          <t>AP</t>
        </is>
      </c>
      <c r="C9" s="31" t="n">
        <v>6</v>
      </c>
      <c r="D9" s="31" t="n">
        <v>6</v>
      </c>
      <c r="E9" s="31" t="n">
        <v>8</v>
      </c>
      <c r="F9" s="31" t="n">
        <v>8</v>
      </c>
      <c r="G9" s="31" t="n">
        <v>10</v>
      </c>
      <c r="H9" s="31" t="n">
        <v>10</v>
      </c>
      <c r="I9" s="31" t="n">
        <v>10</v>
      </c>
      <c r="J9" s="31" t="n">
        <v>12</v>
      </c>
      <c r="K9" s="31" t="n">
        <v>12</v>
      </c>
      <c r="L9" s="31" t="n">
        <v>12</v>
      </c>
      <c r="M9" s="31" t="n">
        <v>10</v>
      </c>
      <c r="N9" s="31" t="n">
        <v>8</v>
      </c>
    </row>
    <row r="10">
      <c r="A10" s="29" t="n"/>
      <c r="B10" s="30" t="inlineStr">
        <is>
          <t>FM</t>
        </is>
      </c>
      <c r="C10" s="31" t="n">
        <v>2</v>
      </c>
      <c r="D10" s="31" t="n">
        <v>2</v>
      </c>
      <c r="E10" s="31" t="n">
        <v>2</v>
      </c>
      <c r="F10" s="31" t="n">
        <v>2</v>
      </c>
      <c r="G10" s="31" t="n">
        <v>3</v>
      </c>
      <c r="H10" s="31" t="n">
        <v>3</v>
      </c>
      <c r="I10" s="31" t="n">
        <v>3</v>
      </c>
      <c r="J10" s="31" t="n">
        <v>3</v>
      </c>
      <c r="K10" s="31" t="n">
        <v>3</v>
      </c>
      <c r="L10" s="31" t="n">
        <v>3</v>
      </c>
      <c r="M10" s="31" t="n">
        <v>3</v>
      </c>
      <c r="N10" s="31" t="n">
        <v>2</v>
      </c>
    </row>
    <row r="11">
      <c r="A11" s="32" t="n"/>
      <c r="B11" s="33" t="inlineStr">
        <is>
          <t>Total</t>
        </is>
      </c>
      <c r="C11" s="34">
        <f>SUM(C8:C10)</f>
        <v/>
      </c>
      <c r="D11" s="34">
        <f>SUM(D8:D10)</f>
        <v/>
      </c>
      <c r="E11" s="34">
        <f>SUM(E8:E10)</f>
        <v/>
      </c>
      <c r="F11" s="34">
        <f>SUM(F8:F10)</f>
        <v/>
      </c>
      <c r="G11" s="34">
        <f>SUM(G8:G10)</f>
        <v/>
      </c>
      <c r="H11" s="34">
        <f>SUM(H8:H10)</f>
        <v/>
      </c>
      <c r="I11" s="34">
        <f>SUM(I8:I10)</f>
        <v/>
      </c>
      <c r="J11" s="34">
        <f>SUM(J8:J10)</f>
        <v/>
      </c>
      <c r="K11" s="34">
        <f>SUM(K8:K10)</f>
        <v/>
      </c>
      <c r="L11" s="34">
        <f>SUM(L8:L10)</f>
        <v/>
      </c>
      <c r="M11" s="34">
        <f>SUM(M8:M10)</f>
        <v/>
      </c>
      <c r="N11" s="34">
        <f>SUM(N8:N10)</f>
        <v/>
      </c>
    </row>
    <row r="12">
      <c r="A12" s="26" t="inlineStr">
        <is>
          <t>Mercy Hospital MRI Suite</t>
        </is>
      </c>
      <c r="B12" s="27" t="inlineStr">
        <is>
          <t>DE-2026-002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9" t="n"/>
      <c r="B13" s="30" t="inlineStr">
        <is>
          <t>JW</t>
        </is>
      </c>
      <c r="C13" s="31" t="n">
        <v>4</v>
      </c>
      <c r="D13" s="31" t="n">
        <v>4</v>
      </c>
      <c r="E13" s="31" t="n">
        <v>4</v>
      </c>
      <c r="F13" s="31" t="n">
        <v>5</v>
      </c>
      <c r="G13" s="31" t="n">
        <v>5</v>
      </c>
      <c r="H13" s="31" t="n">
        <v>5</v>
      </c>
      <c r="I13" s="31" t="n">
        <v>4</v>
      </c>
      <c r="J13" s="31" t="n">
        <v>3</v>
      </c>
      <c r="K13" s="31" t="n">
        <v>2</v>
      </c>
      <c r="L13" s="31" t="n">
        <v>2</v>
      </c>
      <c r="M13" s="31" t="n">
        <v>1</v>
      </c>
      <c r="N13" s="31" t="n">
        <v>0</v>
      </c>
    </row>
    <row r="14">
      <c r="A14" s="29" t="n"/>
      <c r="B14" s="30" t="inlineStr">
        <is>
          <t>AP</t>
        </is>
      </c>
      <c r="C14" s="31" t="n">
        <v>3</v>
      </c>
      <c r="D14" s="31" t="n">
        <v>3</v>
      </c>
      <c r="E14" s="31" t="n">
        <v>4</v>
      </c>
      <c r="F14" s="31" t="n">
        <v>4</v>
      </c>
      <c r="G14" s="31" t="n">
        <v>4</v>
      </c>
      <c r="H14" s="31" t="n">
        <v>4</v>
      </c>
      <c r="I14" s="31" t="n">
        <v>3</v>
      </c>
      <c r="J14" s="31" t="n">
        <v>2</v>
      </c>
      <c r="K14" s="31" t="n">
        <v>2</v>
      </c>
      <c r="L14" s="31" t="n">
        <v>1</v>
      </c>
      <c r="M14" s="31" t="n">
        <v>1</v>
      </c>
      <c r="N14" s="31" t="n">
        <v>0</v>
      </c>
    </row>
    <row r="15">
      <c r="A15" s="29" t="n"/>
      <c r="B15" s="30" t="inlineStr">
        <is>
          <t>FM</t>
        </is>
      </c>
      <c r="C15" s="31" t="n">
        <v>1</v>
      </c>
      <c r="D15" s="31" t="n">
        <v>1</v>
      </c>
      <c r="E15" s="31" t="n">
        <v>1</v>
      </c>
      <c r="F15" s="31" t="n">
        <v>1</v>
      </c>
      <c r="G15" s="31" t="n">
        <v>1</v>
      </c>
      <c r="H15" s="31" t="n">
        <v>1</v>
      </c>
      <c r="I15" s="31" t="n">
        <v>1</v>
      </c>
      <c r="J15" s="31" t="n">
        <v>1</v>
      </c>
      <c r="K15" s="31" t="n">
        <v>1</v>
      </c>
      <c r="L15" s="31" t="n">
        <v>0</v>
      </c>
      <c r="M15" s="31" t="n">
        <v>0</v>
      </c>
      <c r="N15" s="31" t="n">
        <v>0</v>
      </c>
    </row>
    <row r="16">
      <c r="A16" s="32" t="n"/>
      <c r="B16" s="33" t="inlineStr">
        <is>
          <t>Total</t>
        </is>
      </c>
      <c r="C16" s="34">
        <f>SUM(C13:C15)</f>
        <v/>
      </c>
      <c r="D16" s="34">
        <f>SUM(D13:D15)</f>
        <v/>
      </c>
      <c r="E16" s="34">
        <f>SUM(E13:E15)</f>
        <v/>
      </c>
      <c r="F16" s="34">
        <f>SUM(F13:F15)</f>
        <v/>
      </c>
      <c r="G16" s="34">
        <f>SUM(G13:G15)</f>
        <v/>
      </c>
      <c r="H16" s="34">
        <f>SUM(H13:H15)</f>
        <v/>
      </c>
      <c r="I16" s="34">
        <f>SUM(I13:I15)</f>
        <v/>
      </c>
      <c r="J16" s="34">
        <f>SUM(J13:J15)</f>
        <v/>
      </c>
      <c r="K16" s="34">
        <f>SUM(K13:K15)</f>
        <v/>
      </c>
      <c r="L16" s="34">
        <f>SUM(L13:L15)</f>
        <v/>
      </c>
      <c r="M16" s="34">
        <f>SUM(M13:M15)</f>
        <v/>
      </c>
      <c r="N16" s="34">
        <f>SUM(N13:N15)</f>
        <v/>
      </c>
    </row>
    <row r="17">
      <c r="A17" s="26" t="inlineStr">
        <is>
          <t>Target Store #4412 Remodel</t>
        </is>
      </c>
      <c r="B17" s="27" t="inlineStr">
        <is>
          <t>DE-2026-003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9" t="n"/>
      <c r="B18" s="30" t="inlineStr">
        <is>
          <t>JW</t>
        </is>
      </c>
      <c r="C18" s="31" t="n">
        <v>3</v>
      </c>
      <c r="D18" s="31" t="n">
        <v>3</v>
      </c>
      <c r="E18" s="31" t="n">
        <v>3</v>
      </c>
      <c r="F18" s="31" t="n">
        <v>3</v>
      </c>
      <c r="G18" s="31" t="n">
        <v>2</v>
      </c>
      <c r="H18" s="31" t="n">
        <v>2</v>
      </c>
      <c r="I18" s="31" t="n">
        <v>1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</row>
    <row r="19">
      <c r="A19" s="29" t="n"/>
      <c r="B19" s="30" t="inlineStr">
        <is>
          <t>AP</t>
        </is>
      </c>
      <c r="C19" s="31" t="n">
        <v>2</v>
      </c>
      <c r="D19" s="31" t="n">
        <v>2</v>
      </c>
      <c r="E19" s="31" t="n">
        <v>2</v>
      </c>
      <c r="F19" s="31" t="n">
        <v>2</v>
      </c>
      <c r="G19" s="31" t="n">
        <v>2</v>
      </c>
      <c r="H19" s="31" t="n">
        <v>1</v>
      </c>
      <c r="I19" s="31" t="n">
        <v>1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</row>
    <row r="20">
      <c r="A20" s="29" t="n"/>
      <c r="B20" s="30" t="inlineStr">
        <is>
          <t>FM</t>
        </is>
      </c>
      <c r="C20" s="31" t="n">
        <v>1</v>
      </c>
      <c r="D20" s="31" t="n">
        <v>1</v>
      </c>
      <c r="E20" s="31" t="n">
        <v>1</v>
      </c>
      <c r="F20" s="31" t="n">
        <v>1</v>
      </c>
      <c r="G20" s="31" t="n">
        <v>1</v>
      </c>
      <c r="H20" s="31" t="n">
        <v>0</v>
      </c>
      <c r="I20" s="31" t="n">
        <v>0</v>
      </c>
      <c r="J20" s="31" t="n">
        <v>0</v>
      </c>
      <c r="K20" s="31" t="n">
        <v>0</v>
      </c>
      <c r="L20" s="31" t="n">
        <v>0</v>
      </c>
      <c r="M20" s="31" t="n">
        <v>0</v>
      </c>
      <c r="N20" s="31" t="n">
        <v>0</v>
      </c>
    </row>
    <row r="21">
      <c r="A21" s="32" t="n"/>
      <c r="B21" s="33" t="inlineStr">
        <is>
          <t>Total</t>
        </is>
      </c>
      <c r="C21" s="34">
        <f>SUM(C18:C20)</f>
        <v/>
      </c>
      <c r="D21" s="34">
        <f>SUM(D18:D20)</f>
        <v/>
      </c>
      <c r="E21" s="34">
        <f>SUM(E18:E20)</f>
        <v/>
      </c>
      <c r="F21" s="34">
        <f>SUM(F18:F20)</f>
        <v/>
      </c>
      <c r="G21" s="34">
        <f>SUM(G18:G20)</f>
        <v/>
      </c>
      <c r="H21" s="34">
        <f>SUM(H18:H20)</f>
        <v/>
      </c>
      <c r="I21" s="34">
        <f>SUM(I18:I20)</f>
        <v/>
      </c>
      <c r="J21" s="34">
        <f>SUM(J18:J20)</f>
        <v/>
      </c>
      <c r="K21" s="34">
        <f>SUM(K18:K20)</f>
        <v/>
      </c>
      <c r="L21" s="34">
        <f>SUM(L18:L20)</f>
        <v/>
      </c>
      <c r="M21" s="34">
        <f>SUM(M18:M20)</f>
        <v/>
      </c>
      <c r="N21" s="34">
        <f>SUM(N18:N20)</f>
        <v/>
      </c>
    </row>
    <row r="22">
      <c r="A22" s="26" t="inlineStr">
        <is>
          <t>Applebee's Service Call</t>
        </is>
      </c>
      <c r="B22" s="27" t="inlineStr">
        <is>
          <t>DE-2026-004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</row>
    <row r="23">
      <c r="A23" s="29" t="n"/>
      <c r="B23" s="30" t="inlineStr">
        <is>
          <t>JW</t>
        </is>
      </c>
      <c r="C23" s="31" t="n">
        <v>2</v>
      </c>
      <c r="D23" s="31" t="n">
        <v>1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</row>
    <row r="24">
      <c r="A24" s="29" t="n"/>
      <c r="B24" s="30" t="inlineStr">
        <is>
          <t>AP</t>
        </is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</row>
    <row r="25">
      <c r="A25" s="29" t="n"/>
      <c r="B25" s="30" t="inlineStr">
        <is>
          <t>FM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</row>
    <row r="26">
      <c r="A26" s="32" t="n"/>
      <c r="B26" s="33" t="inlineStr">
        <is>
          <t>Total</t>
        </is>
      </c>
      <c r="C26" s="34">
        <f>SUM(C23:C25)</f>
        <v/>
      </c>
      <c r="D26" s="34">
        <f>SUM(D23:D25)</f>
        <v/>
      </c>
      <c r="E26" s="34">
        <f>SUM(E23:E25)</f>
        <v/>
      </c>
      <c r="F26" s="34">
        <f>SUM(F23:F25)</f>
        <v/>
      </c>
      <c r="G26" s="34">
        <f>SUM(G23:G25)</f>
        <v/>
      </c>
      <c r="H26" s="34">
        <f>SUM(H23:H25)</f>
        <v/>
      </c>
      <c r="I26" s="34">
        <f>SUM(I23:I25)</f>
        <v/>
      </c>
      <c r="J26" s="34">
        <f>SUM(J23:J25)</f>
        <v/>
      </c>
      <c r="K26" s="34">
        <f>SUM(K23:K25)</f>
        <v/>
      </c>
      <c r="L26" s="34">
        <f>SUM(L23:L25)</f>
        <v/>
      </c>
      <c r="M26" s="34">
        <f>SUM(M23:M25)</f>
        <v/>
      </c>
      <c r="N26" s="34">
        <f>SUM(N23:N25)</f>
        <v/>
      </c>
    </row>
    <row r="27">
      <c r="A27" s="26" t="inlineStr">
        <is>
          <t>Data Center Build-Out</t>
        </is>
      </c>
      <c r="B27" s="27" t="inlineStr">
        <is>
          <t>DE-2026-005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</row>
    <row r="28">
      <c r="A28" s="29" t="n"/>
      <c r="B28" s="30" t="inlineStr">
        <is>
          <t>JW</t>
        </is>
      </c>
      <c r="C28" s="31" t="n">
        <v>0</v>
      </c>
      <c r="D28" s="31" t="n">
        <v>0</v>
      </c>
      <c r="E28" s="31" t="n">
        <v>2</v>
      </c>
      <c r="F28" s="31" t="n">
        <v>4</v>
      </c>
      <c r="G28" s="31" t="n">
        <v>6</v>
      </c>
      <c r="H28" s="31" t="n">
        <v>8</v>
      </c>
      <c r="I28" s="31" t="n">
        <v>10</v>
      </c>
      <c r="J28" s="31" t="n">
        <v>10</v>
      </c>
      <c r="K28" s="31" t="n">
        <v>12</v>
      </c>
      <c r="L28" s="31" t="n">
        <v>12</v>
      </c>
      <c r="M28" s="31" t="n">
        <v>14</v>
      </c>
      <c r="N28" s="31" t="n">
        <v>14</v>
      </c>
    </row>
    <row r="29">
      <c r="A29" s="29" t="n"/>
      <c r="B29" s="30" t="inlineStr">
        <is>
          <t>AP</t>
        </is>
      </c>
      <c r="C29" s="31" t="n">
        <v>0</v>
      </c>
      <c r="D29" s="31" t="n">
        <v>0</v>
      </c>
      <c r="E29" s="31" t="n">
        <v>1</v>
      </c>
      <c r="F29" s="31" t="n">
        <v>3</v>
      </c>
      <c r="G29" s="31" t="n">
        <v>5</v>
      </c>
      <c r="H29" s="31" t="n">
        <v>6</v>
      </c>
      <c r="I29" s="31" t="n">
        <v>8</v>
      </c>
      <c r="J29" s="31" t="n">
        <v>8</v>
      </c>
      <c r="K29" s="31" t="n">
        <v>10</v>
      </c>
      <c r="L29" s="31" t="n">
        <v>10</v>
      </c>
      <c r="M29" s="31" t="n">
        <v>12</v>
      </c>
      <c r="N29" s="31" t="n">
        <v>12</v>
      </c>
    </row>
    <row r="30">
      <c r="A30" s="29" t="n"/>
      <c r="B30" s="30" t="inlineStr">
        <is>
          <t>FM</t>
        </is>
      </c>
      <c r="C30" s="31" t="n">
        <v>0</v>
      </c>
      <c r="D30" s="31" t="n">
        <v>0</v>
      </c>
      <c r="E30" s="31" t="n">
        <v>1</v>
      </c>
      <c r="F30" s="31" t="n">
        <v>1</v>
      </c>
      <c r="G30" s="31" t="n">
        <v>2</v>
      </c>
      <c r="H30" s="31" t="n">
        <v>2</v>
      </c>
      <c r="I30" s="31" t="n">
        <v>2</v>
      </c>
      <c r="J30" s="31" t="n">
        <v>2</v>
      </c>
      <c r="K30" s="31" t="n">
        <v>3</v>
      </c>
      <c r="L30" s="31" t="n">
        <v>3</v>
      </c>
      <c r="M30" s="31" t="n">
        <v>3</v>
      </c>
      <c r="N30" s="31" t="n">
        <v>3</v>
      </c>
    </row>
    <row r="31">
      <c r="A31" s="32" t="n"/>
      <c r="B31" s="33" t="inlineStr">
        <is>
          <t>Total</t>
        </is>
      </c>
      <c r="C31" s="34">
        <f>SUM(C28:C30)</f>
        <v/>
      </c>
      <c r="D31" s="34">
        <f>SUM(D28:D30)</f>
        <v/>
      </c>
      <c r="E31" s="34">
        <f>SUM(E28:E30)</f>
        <v/>
      </c>
      <c r="F31" s="34">
        <f>SUM(F28:F30)</f>
        <v/>
      </c>
      <c r="G31" s="34">
        <f>SUM(G28:G30)</f>
        <v/>
      </c>
      <c r="H31" s="34">
        <f>SUM(H28:H30)</f>
        <v/>
      </c>
      <c r="I31" s="34">
        <f>SUM(I28:I30)</f>
        <v/>
      </c>
      <c r="J31" s="34">
        <f>SUM(J28:J30)</f>
        <v/>
      </c>
      <c r="K31" s="34">
        <f>SUM(K28:K30)</f>
        <v/>
      </c>
      <c r="L31" s="34">
        <f>SUM(L28:L30)</f>
        <v/>
      </c>
      <c r="M31" s="34">
        <f>SUM(M28:M30)</f>
        <v/>
      </c>
      <c r="N31" s="34">
        <f>SUM(N28:N30)</f>
        <v/>
      </c>
    </row>
    <row r="32">
      <c r="A32" s="26" t="inlineStr">
        <is>
          <t>EV Charging Station - Walmart</t>
        </is>
      </c>
      <c r="B32" s="27" t="inlineStr">
        <is>
          <t>DE-2026-006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</row>
    <row r="33">
      <c r="A33" s="29" t="n"/>
      <c r="B33" s="30" t="inlineStr">
        <is>
          <t>JW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3</v>
      </c>
      <c r="I33" s="31" t="n">
        <v>3</v>
      </c>
      <c r="J33" s="31" t="n">
        <v>3</v>
      </c>
      <c r="K33" s="31" t="n">
        <v>3</v>
      </c>
      <c r="L33" s="31" t="n">
        <v>3</v>
      </c>
      <c r="M33" s="31" t="n">
        <v>2</v>
      </c>
      <c r="N33" s="31" t="n">
        <v>2</v>
      </c>
    </row>
    <row r="34">
      <c r="A34" s="29" t="n"/>
      <c r="B34" s="30" t="inlineStr">
        <is>
          <t>AP</t>
        </is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</v>
      </c>
      <c r="H34" s="31" t="n">
        <v>2</v>
      </c>
      <c r="I34" s="31" t="n">
        <v>2</v>
      </c>
      <c r="J34" s="31" t="n">
        <v>2</v>
      </c>
      <c r="K34" s="31" t="n">
        <v>2</v>
      </c>
      <c r="L34" s="31" t="n">
        <v>2</v>
      </c>
      <c r="M34" s="31" t="n">
        <v>2</v>
      </c>
      <c r="N34" s="31" t="n">
        <v>2</v>
      </c>
    </row>
    <row r="35">
      <c r="A35" s="29" t="n"/>
      <c r="B35" s="30" t="inlineStr">
        <is>
          <t>FM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1</v>
      </c>
      <c r="H35" s="31" t="n">
        <v>1</v>
      </c>
      <c r="I35" s="31" t="n">
        <v>1</v>
      </c>
      <c r="J35" s="31" t="n">
        <v>1</v>
      </c>
      <c r="K35" s="31" t="n">
        <v>1</v>
      </c>
      <c r="L35" s="31" t="n">
        <v>1</v>
      </c>
      <c r="M35" s="31" t="n">
        <v>1</v>
      </c>
      <c r="N35" s="31" t="n">
        <v>1</v>
      </c>
    </row>
    <row r="36">
      <c r="A36" s="32" t="n"/>
      <c r="B36" s="33" t="inlineStr">
        <is>
          <t>Total</t>
        </is>
      </c>
      <c r="C36" s="34">
        <f>SUM(C33:C35)</f>
        <v/>
      </c>
      <c r="D36" s="34">
        <f>SUM(D33:D35)</f>
        <v/>
      </c>
      <c r="E36" s="34">
        <f>SUM(E33:E35)</f>
        <v/>
      </c>
      <c r="F36" s="34">
        <f>SUM(F33:F35)</f>
        <v/>
      </c>
      <c r="G36" s="34">
        <f>SUM(G33:G35)</f>
        <v/>
      </c>
      <c r="H36" s="34">
        <f>SUM(H33:H35)</f>
        <v/>
      </c>
      <c r="I36" s="34">
        <f>SUM(I33:I35)</f>
        <v/>
      </c>
      <c r="J36" s="34">
        <f>SUM(J33:J35)</f>
        <v/>
      </c>
      <c r="K36" s="34">
        <f>SUM(K33:K35)</f>
        <v/>
      </c>
      <c r="L36" s="34">
        <f>SUM(L33:L35)</f>
        <v/>
      </c>
      <c r="M36" s="34">
        <f>SUM(M33:M35)</f>
        <v/>
      </c>
      <c r="N36" s="34">
        <f>SUM(N33:N35)</f>
        <v/>
      </c>
    </row>
    <row r="37">
      <c r="A37" s="32" t="inlineStr">
        <is>
          <t>GRAND TOTAL</t>
        </is>
      </c>
      <c r="B37" s="32" t="n"/>
      <c r="C37" s="35">
        <f>C11+C16+C21+C26+C31+C36</f>
        <v/>
      </c>
      <c r="D37" s="35">
        <f>D11+D16+D21+D26+D31+D36</f>
        <v/>
      </c>
      <c r="E37" s="35">
        <f>E11+E16+E21+E26+E31+E36</f>
        <v/>
      </c>
      <c r="F37" s="35">
        <f>F11+F16+F21+F26+F31+F36</f>
        <v/>
      </c>
      <c r="G37" s="35">
        <f>G11+G16+G21+G26+G31+G36</f>
        <v/>
      </c>
      <c r="H37" s="35">
        <f>H11+H16+H21+H26+H31+H36</f>
        <v/>
      </c>
      <c r="I37" s="35">
        <f>I11+I16+I21+I26+I31+I36</f>
        <v/>
      </c>
      <c r="J37" s="35">
        <f>J11+J16+J21+J26+J31+J36</f>
        <v/>
      </c>
      <c r="K37" s="35">
        <f>K11+K16+K21+K26+K31+K36</f>
        <v/>
      </c>
      <c r="L37" s="35">
        <f>L11+L16+L21+L26+L31+L36</f>
        <v/>
      </c>
      <c r="M37" s="35">
        <f>M11+M16+M21+M26+M31+M36</f>
        <v/>
      </c>
      <c r="N37" s="35">
        <f>N11+N16+N21+N26+N31+N36</f>
        <v/>
      </c>
    </row>
    <row r="39">
      <c r="A39" s="4" t="inlineStr">
        <is>
          <t>CLASSIFICATION SUMMARY</t>
        </is>
      </c>
    </row>
    <row r="40">
      <c r="A40" s="36" t="inlineStr">
        <is>
          <t>Journeyman</t>
        </is>
      </c>
      <c r="B40" s="30" t="inlineStr">
        <is>
          <t>JW</t>
        </is>
      </c>
      <c r="C40" s="34">
        <f>C8+C13+C18+C23+C28+C33</f>
        <v/>
      </c>
      <c r="D40" s="34">
        <f>D8+D13+D18+D23+D28+D33</f>
        <v/>
      </c>
      <c r="E40" s="34">
        <f>E8+E13+E18+E23+E28+E33</f>
        <v/>
      </c>
      <c r="F40" s="34">
        <f>F8+F13+F18+F23+F28+F33</f>
        <v/>
      </c>
      <c r="G40" s="34">
        <f>G8+G13+G18+G23+G28+G33</f>
        <v/>
      </c>
      <c r="H40" s="34">
        <f>H8+H13+H18+H23+H28+H33</f>
        <v/>
      </c>
      <c r="I40" s="34">
        <f>I8+I13+I18+I23+I28+I33</f>
        <v/>
      </c>
      <c r="J40" s="34">
        <f>J8+J13+J18+J23+J28+J33</f>
        <v/>
      </c>
      <c r="K40" s="34">
        <f>K8+K13+K18+K23+K28+K33</f>
        <v/>
      </c>
      <c r="L40" s="34">
        <f>L8+L13+L18+L23+L28+L33</f>
        <v/>
      </c>
      <c r="M40" s="34">
        <f>M8+M13+M18+M23+M28+M33</f>
        <v/>
      </c>
      <c r="N40" s="34">
        <f>N8+N13+N18+N23+N28+N33</f>
        <v/>
      </c>
    </row>
    <row r="41">
      <c r="A41" s="36" t="inlineStr">
        <is>
          <t>Apprentice</t>
        </is>
      </c>
      <c r="B41" s="30" t="inlineStr">
        <is>
          <t>AP</t>
        </is>
      </c>
      <c r="C41" s="34">
        <f>C9+C14+C19+C24+C29+C34</f>
        <v/>
      </c>
      <c r="D41" s="34">
        <f>D9+D14+D19+D24+D29+D34</f>
        <v/>
      </c>
      <c r="E41" s="34">
        <f>E9+E14+E19+E24+E29+E34</f>
        <v/>
      </c>
      <c r="F41" s="34">
        <f>F9+F14+F19+F24+F29+F34</f>
        <v/>
      </c>
      <c r="G41" s="34">
        <f>G9+G14+G19+G24+G29+G34</f>
        <v/>
      </c>
      <c r="H41" s="34">
        <f>H9+H14+H19+H24+H29+H34</f>
        <v/>
      </c>
      <c r="I41" s="34">
        <f>I9+I14+I19+I24+I29+I34</f>
        <v/>
      </c>
      <c r="J41" s="34">
        <f>J9+J14+J19+J24+J29+J34</f>
        <v/>
      </c>
      <c r="K41" s="34">
        <f>K9+K14+K19+K24+K29+K34</f>
        <v/>
      </c>
      <c r="L41" s="34">
        <f>L9+L14+L19+L24+L29+L34</f>
        <v/>
      </c>
      <c r="M41" s="34">
        <f>M9+M14+M19+M24+M29+M34</f>
        <v/>
      </c>
      <c r="N41" s="34">
        <f>N9+N14+N19+N24+N29+N34</f>
        <v/>
      </c>
    </row>
    <row r="42">
      <c r="A42" s="36" t="inlineStr">
        <is>
          <t>Foreman</t>
        </is>
      </c>
      <c r="B42" s="30" t="inlineStr">
        <is>
          <t>FM</t>
        </is>
      </c>
      <c r="C42" s="34">
        <f>C10+C15+C20+C25+C30+C35</f>
        <v/>
      </c>
      <c r="D42" s="34">
        <f>D10+D15+D20+D25+D30+D35</f>
        <v/>
      </c>
      <c r="E42" s="34">
        <f>E10+E15+E20+E25+E30+E35</f>
        <v/>
      </c>
      <c r="F42" s="34">
        <f>F10+F15+F20+F25+F30+F35</f>
        <v/>
      </c>
      <c r="G42" s="34">
        <f>G10+G15+G20+G25+G30+G35</f>
        <v/>
      </c>
      <c r="H42" s="34">
        <f>H10+H15+H20+H25+H30+H35</f>
        <v/>
      </c>
      <c r="I42" s="34">
        <f>I10+I15+I20+I25+I30+I35</f>
        <v/>
      </c>
      <c r="J42" s="34">
        <f>J10+J15+J20+J25+J30+J35</f>
        <v/>
      </c>
      <c r="K42" s="34">
        <f>K10+K15+K20+K25+K30+K35</f>
        <v/>
      </c>
      <c r="L42" s="34">
        <f>L10+L15+L20+L25+L30+L35</f>
        <v/>
      </c>
      <c r="M42" s="34">
        <f>M10+M15+M20+M25+M30+M35</f>
        <v/>
      </c>
      <c r="N42" s="34">
        <f>N10+N15+N20+N25+N30+N35</f>
        <v/>
      </c>
    </row>
    <row r="43">
      <c r="A43" s="37" t="inlineStr">
        <is>
          <t>Grand Total</t>
        </is>
      </c>
      <c r="B43" s="32" t="n"/>
      <c r="C43" s="35">
        <f>C37</f>
        <v/>
      </c>
      <c r="D43" s="35">
        <f>D37</f>
        <v/>
      </c>
      <c r="E43" s="35">
        <f>E37</f>
        <v/>
      </c>
      <c r="F43" s="35">
        <f>F37</f>
        <v/>
      </c>
      <c r="G43" s="35">
        <f>G37</f>
        <v/>
      </c>
      <c r="H43" s="35">
        <f>H37</f>
        <v/>
      </c>
      <c r="I43" s="35">
        <f>I37</f>
        <v/>
      </c>
      <c r="J43" s="35">
        <f>J37</f>
        <v/>
      </c>
      <c r="K43" s="35">
        <f>K37</f>
        <v/>
      </c>
      <c r="L43" s="35">
        <f>L37</f>
        <v/>
      </c>
      <c r="M43" s="35">
        <f>M37</f>
        <v/>
      </c>
      <c r="N43" s="35">
        <f>N37</f>
        <v/>
      </c>
    </row>
    <row r="44">
      <c r="A44" s="36" t="inlineStr">
        <is>
          <t>JW:AP Ratio</t>
        </is>
      </c>
      <c r="B44" s="29" t="n"/>
      <c r="C44" s="38">
        <f>IF(C41=0,0,C40/MAX(C41,1))</f>
        <v/>
      </c>
      <c r="D44" s="38">
        <f>IF(D41=0,0,D40/MAX(D41,1))</f>
        <v/>
      </c>
      <c r="E44" s="38">
        <f>IF(E41=0,0,E40/MAX(E41,1))</f>
        <v/>
      </c>
      <c r="F44" s="38">
        <f>IF(F41=0,0,F40/MAX(F41,1))</f>
        <v/>
      </c>
      <c r="G44" s="38">
        <f>IF(G41=0,0,G40/MAX(G41,1))</f>
        <v/>
      </c>
      <c r="H44" s="38">
        <f>IF(H41=0,0,H40/MAX(H41,1))</f>
        <v/>
      </c>
      <c r="I44" s="38">
        <f>IF(I41=0,0,I40/MAX(I41,1))</f>
        <v/>
      </c>
      <c r="J44" s="38">
        <f>IF(J41=0,0,J40/MAX(J41,1))</f>
        <v/>
      </c>
      <c r="K44" s="38">
        <f>IF(K41=0,0,K40/MAX(K41,1))</f>
        <v/>
      </c>
      <c r="L44" s="38">
        <f>IF(L41=0,0,L40/MAX(L41,1))</f>
        <v/>
      </c>
      <c r="M44" s="38">
        <f>IF(M41=0,0,M40/MAX(M41,1))</f>
        <v/>
      </c>
      <c r="N44" s="38">
        <f>IF(N41=0,0,N40/MAX(N41,1))</f>
        <v/>
      </c>
    </row>
  </sheetData>
  <mergeCells count="3">
    <mergeCell ref="A3:H3"/>
    <mergeCell ref="A2:H2"/>
    <mergeCell ref="A1:H1"/>
  </mergeCells>
  <conditionalFormatting sqref="C8:N8">
    <cfRule type="cellIs" priority="1" operator="equal" dxfId="3">
      <formula>0</formula>
    </cfRule>
  </conditionalFormatting>
  <conditionalFormatting sqref="C9:N9">
    <cfRule type="cellIs" priority="2" operator="equal" dxfId="3">
      <formula>0</formula>
    </cfRule>
  </conditionalFormatting>
  <conditionalFormatting sqref="C10:N10">
    <cfRule type="cellIs" priority="3" operator="equal" dxfId="3">
      <formula>0</formula>
    </cfRule>
  </conditionalFormatting>
  <conditionalFormatting sqref="C13:N13">
    <cfRule type="cellIs" priority="4" operator="equal" dxfId="3">
      <formula>0</formula>
    </cfRule>
  </conditionalFormatting>
  <conditionalFormatting sqref="C14:N14">
    <cfRule type="cellIs" priority="5" operator="equal" dxfId="3">
      <formula>0</formula>
    </cfRule>
  </conditionalFormatting>
  <conditionalFormatting sqref="C15:N15">
    <cfRule type="cellIs" priority="6" operator="equal" dxfId="3">
      <formula>0</formula>
    </cfRule>
  </conditionalFormatting>
  <conditionalFormatting sqref="C18:N18">
    <cfRule type="cellIs" priority="7" operator="equal" dxfId="3">
      <formula>0</formula>
    </cfRule>
  </conditionalFormatting>
  <conditionalFormatting sqref="C19:N19">
    <cfRule type="cellIs" priority="8" operator="equal" dxfId="3">
      <formula>0</formula>
    </cfRule>
  </conditionalFormatting>
  <conditionalFormatting sqref="C20:N20">
    <cfRule type="cellIs" priority="9" operator="equal" dxfId="3">
      <formula>0</formula>
    </cfRule>
  </conditionalFormatting>
  <conditionalFormatting sqref="C23:N23">
    <cfRule type="cellIs" priority="10" operator="equal" dxfId="3">
      <formula>0</formula>
    </cfRule>
  </conditionalFormatting>
  <conditionalFormatting sqref="C24:N24">
    <cfRule type="cellIs" priority="11" operator="equal" dxfId="3">
      <formula>0</formula>
    </cfRule>
  </conditionalFormatting>
  <conditionalFormatting sqref="C25:N25">
    <cfRule type="cellIs" priority="12" operator="equal" dxfId="3">
      <formula>0</formula>
    </cfRule>
  </conditionalFormatting>
  <conditionalFormatting sqref="C28:N28">
    <cfRule type="cellIs" priority="13" operator="equal" dxfId="3">
      <formula>0</formula>
    </cfRule>
  </conditionalFormatting>
  <conditionalFormatting sqref="C29:N29">
    <cfRule type="cellIs" priority="14" operator="equal" dxfId="3">
      <formula>0</formula>
    </cfRule>
  </conditionalFormatting>
  <conditionalFormatting sqref="C30:N30">
    <cfRule type="cellIs" priority="15" operator="equal" dxfId="3">
      <formula>0</formula>
    </cfRule>
  </conditionalFormatting>
  <conditionalFormatting sqref="C33:N33">
    <cfRule type="cellIs" priority="16" operator="equal" dxfId="3">
      <formula>0</formula>
    </cfRule>
  </conditionalFormatting>
  <conditionalFormatting sqref="C34:N34">
    <cfRule type="cellIs" priority="17" operator="equal" dxfId="3">
      <formula>0</formula>
    </cfRule>
  </conditionalFormatting>
  <conditionalFormatting sqref="C35:N35">
    <cfRule type="cellIs" priority="18" operator="equal" dxfId="3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Douglas Electric</t>
        </is>
      </c>
    </row>
    <row r="2">
      <c r="A2" s="2" t="inlineStr">
        <is>
          <t>Apprentice Ratio Monitor</t>
        </is>
      </c>
    </row>
    <row r="3">
      <c r="A3" s="3" t="inlineStr">
        <is>
          <t>Report Date: 2026-04-07</t>
        </is>
      </c>
    </row>
    <row r="4" ht="6" customHeight="1"/>
    <row r="5">
      <c r="A5" s="9" t="inlineStr">
        <is>
          <t>Project Name</t>
        </is>
      </c>
      <c r="B5" s="39" t="inlineStr">
        <is>
          <t>JW Count</t>
        </is>
      </c>
      <c r="C5" s="39" t="inlineStr">
        <is>
          <t>AP Count</t>
        </is>
      </c>
      <c r="D5" s="39" t="inlineStr">
        <is>
          <t>JW:AP Ratio</t>
        </is>
      </c>
      <c r="E5" s="39" t="inlineStr">
        <is>
          <t>Required Ratio</t>
        </is>
      </c>
      <c r="F5" s="25" t="inlineStr">
        <is>
          <t>Compliant</t>
        </is>
      </c>
    </row>
    <row r="6">
      <c r="A6" s="11" t="inlineStr">
        <is>
          <t>Rivian Plant Phase 3</t>
        </is>
      </c>
      <c r="B6" s="40">
        <f>SUM('Loading Chart'!C8:N8)</f>
        <v/>
      </c>
      <c r="C6" s="40">
        <f>SUM('Loading Chart'!C9:N9)</f>
        <v/>
      </c>
      <c r="D6" s="41">
        <f>IF(C6=0,0,B6/MAX(C6,1))</f>
        <v/>
      </c>
      <c r="E6" s="42" t="n">
        <v>1</v>
      </c>
      <c r="F6" s="14">
        <f>IF(C6=0,"N/A",IF(D6&gt;=E6,"Y","N"))</f>
        <v/>
      </c>
    </row>
    <row r="7">
      <c r="A7" s="15" t="inlineStr">
        <is>
          <t>Mercy Hospital MRI Suite</t>
        </is>
      </c>
      <c r="B7" s="43">
        <f>SUM('Loading Chart'!C13:N13)</f>
        <v/>
      </c>
      <c r="C7" s="43">
        <f>SUM('Loading Chart'!C14:N14)</f>
        <v/>
      </c>
      <c r="D7" s="44">
        <f>IF(C7=0,0,B7/MAX(C7,1))</f>
        <v/>
      </c>
      <c r="E7" s="45" t="n">
        <v>1</v>
      </c>
      <c r="F7" s="20">
        <f>IF(C7=0,"N/A",IF(D7&gt;=E7,"Y","N"))</f>
        <v/>
      </c>
    </row>
    <row r="8">
      <c r="A8" s="11" t="inlineStr">
        <is>
          <t>Target Store #4412 Remodel</t>
        </is>
      </c>
      <c r="B8" s="40">
        <f>SUM('Loading Chart'!C18:N18)</f>
        <v/>
      </c>
      <c r="C8" s="40">
        <f>SUM('Loading Chart'!C19:N19)</f>
        <v/>
      </c>
      <c r="D8" s="41">
        <f>IF(C8=0,0,B8/MAX(C8,1))</f>
        <v/>
      </c>
      <c r="E8" s="42" t="n">
        <v>1</v>
      </c>
      <c r="F8" s="14">
        <f>IF(C8=0,"N/A",IF(D8&gt;=E8,"Y","N"))</f>
        <v/>
      </c>
    </row>
    <row r="9">
      <c r="A9" s="15" t="inlineStr">
        <is>
          <t>Applebee's Service Call</t>
        </is>
      </c>
      <c r="B9" s="43">
        <f>SUM('Loading Chart'!C23:N23)</f>
        <v/>
      </c>
      <c r="C9" s="43">
        <f>SUM('Loading Chart'!C24:N24)</f>
        <v/>
      </c>
      <c r="D9" s="44">
        <f>IF(C9=0,0,B9/MAX(C9,1))</f>
        <v/>
      </c>
      <c r="E9" s="45" t="n">
        <v>1</v>
      </c>
      <c r="F9" s="20">
        <f>IF(C9=0,"N/A",IF(D9&gt;=E9,"Y","N"))</f>
        <v/>
      </c>
    </row>
    <row r="10">
      <c r="A10" s="11" t="inlineStr">
        <is>
          <t>Data Center Build-Out</t>
        </is>
      </c>
      <c r="B10" s="40">
        <f>SUM('Loading Chart'!C28:N28)</f>
        <v/>
      </c>
      <c r="C10" s="40">
        <f>SUM('Loading Chart'!C29:N29)</f>
        <v/>
      </c>
      <c r="D10" s="41">
        <f>IF(C10=0,0,B10/MAX(C10,1))</f>
        <v/>
      </c>
      <c r="E10" s="42" t="n">
        <v>1</v>
      </c>
      <c r="F10" s="14">
        <f>IF(C10=0,"N/A",IF(D10&gt;=E10,"Y","N"))</f>
        <v/>
      </c>
    </row>
    <row r="11">
      <c r="A11" s="15" t="inlineStr">
        <is>
          <t>EV Charging Station - Walmart</t>
        </is>
      </c>
      <c r="B11" s="43">
        <f>SUM('Loading Chart'!C33:N33)</f>
        <v/>
      </c>
      <c r="C11" s="43">
        <f>SUM('Loading Chart'!C34:N34)</f>
        <v/>
      </c>
      <c r="D11" s="44">
        <f>IF(C11=0,0,B11/MAX(C11,1))</f>
        <v/>
      </c>
      <c r="E11" s="45" t="n">
        <v>1</v>
      </c>
      <c r="F11" s="20">
        <f>IF(C11=0,"N/A",IF(D11&gt;=E11,"Y","N"))</f>
        <v/>
      </c>
    </row>
    <row r="13">
      <c r="A13" s="4" t="inlineStr">
        <is>
          <t>COMPLIANCE SUMMARY</t>
        </is>
      </c>
    </row>
    <row r="14">
      <c r="A14" s="5" t="inlineStr">
        <is>
          <t>Total Compliant</t>
        </is>
      </c>
      <c r="B14" s="40">
        <f>COUNTIF(F6:F11,"Y")</f>
        <v/>
      </c>
    </row>
    <row r="15">
      <c r="A15" s="5" t="inlineStr">
        <is>
          <t>Total Non-Compliant</t>
        </is>
      </c>
      <c r="B15" s="40">
        <f>COUNTIF(F6:F11,"N")</f>
        <v/>
      </c>
    </row>
    <row r="16">
      <c r="A16" s="5" t="inlineStr">
        <is>
          <t>Compliance %</t>
        </is>
      </c>
      <c r="B16" s="46">
        <f>IF(COUNTA(F6:F11)=0,0,COUNTIF(F6:F11,"Y")/COUNTIFS(F6:F11,"&lt;&gt;N/A"))</f>
        <v/>
      </c>
    </row>
  </sheetData>
  <mergeCells count="3">
    <mergeCell ref="A3:G3"/>
    <mergeCell ref="A2:G2"/>
    <mergeCell ref="A1:G1"/>
  </mergeCells>
  <conditionalFormatting sqref="F6:F11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4">
      <formula>"N/A"</formula>
    </cfRule>
  </conditionalFormatting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2026-04-12T19:10:03Z</dcterms:created>
  <dcterms:modified xmlns:dcterms="http://purl.org/dc/terms/" xmlns:xsi="http://www.w3.org/2001/XMLSchema-instance" xsi:type="dcterms:W3CDTF">2026-04-12T19:10:03Z</dcterms:modified>
</cp:coreProperties>
</file>