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y Project" sheetId="2" state="visible" r:id="rId2"/>
    <sheet xmlns:r="http://schemas.openxmlformats.org/officeDocument/2006/relationships" name="T&amp;M Log" sheetId="3" state="visible" r:id="rId3"/>
  </sheets>
  <definedNames>
    <definedName name="TotalCOSubmitted">'Dashboard'!$A$6</definedName>
    <definedName name="TotalApproved">'Dashboard'!$B$6</definedName>
    <definedName name="RecoveryRate">'Dashboard'!$E$6</definedName>
    <definedName name="RevenueAtRisk">'Dashboard'!$G$6</definedName>
    <definedName name="_xlnm._FilterDatabase" localSheetId="1" hidden="1">'By Project'!$A$4:$M$16</definedName>
    <definedName name="_xlnm.Print_Titles" localSheetId="1">'By Project'!$1:$4</definedName>
    <definedName name="_xlnm._FilterDatabase" localSheetId="2" hidden="1">'T&amp;M Log'!$A$4:$K$18</definedName>
    <definedName name="_xlnm.Print_Titles" localSheetId="2">'T&amp;M Log'!$1:$4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$#,##0"/>
    <numFmt numFmtId="167" formatCode="#,##0.0"/>
    <numFmt numFmtId="168" formatCode="0.0%"/>
  </numFmts>
  <fonts count="11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0000FF"/>
      <sz val="10"/>
    </font>
    <font>
      <name val="Inter"/>
      <color rgb="00111010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color rgb="009a948c"/>
      <sz val="8"/>
    </font>
    <font>
      <name val="Inter"/>
      <b val="1"/>
      <color rgb="00111010"/>
      <sz val="16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thin">
        <color rgb="00000000"/>
      </top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8" fontId="6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 wrapText="1"/>
    </xf>
    <xf numFmtId="3" fontId="6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168" fontId="6" fillId="3" borderId="2" applyAlignment="1" pivotButton="0" quotePrefix="0" xfId="0">
      <alignment horizontal="right" vertical="center"/>
    </xf>
    <xf numFmtId="0" fontId="7" fillId="0" borderId="4" pivotButton="0" quotePrefix="0" xfId="0"/>
    <xf numFmtId="3" fontId="7" fillId="0" borderId="4" applyAlignment="1" pivotButton="0" quotePrefix="0" xfId="0">
      <alignment horizontal="right" vertical="center"/>
    </xf>
    <xf numFmtId="166" fontId="7" fillId="0" borderId="4" applyAlignment="1" pivotButton="0" quotePrefix="0" xfId="0">
      <alignment horizontal="right" vertical="center"/>
    </xf>
    <xf numFmtId="0" fontId="0" fillId="0" borderId="4" pivotButton="0" quotePrefix="0" xfId="0"/>
    <xf numFmtId="0" fontId="7" fillId="0" borderId="0" applyAlignment="1" pivotButton="0" quotePrefix="0" xfId="0">
      <alignment horizontal="left" vertical="center" wrapText="1"/>
    </xf>
    <xf numFmtId="166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165" fontId="4" fillId="0" borderId="2" applyAlignment="1" pivotButton="0" quotePrefix="0" xfId="0">
      <alignment horizontal="left" vertical="center" wrapText="1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165" fontId="4" fillId="3" borderId="2" applyAlignment="1" pivotButton="0" quotePrefix="0" xfId="0">
      <alignment horizontal="left" vertical="center" wrapText="1"/>
    </xf>
    <xf numFmtId="166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7" fillId="3" borderId="3" pivotButton="0" quotePrefix="0" xfId="0"/>
    <xf numFmtId="0" fontId="7" fillId="3" borderId="3" applyAlignment="1" pivotButton="0" quotePrefix="0" xfId="0">
      <alignment horizontal="left" vertical="center" wrapText="1"/>
    </xf>
    <xf numFmtId="166" fontId="7" fillId="3" borderId="3" applyAlignment="1" pivotButton="0" quotePrefix="0" xfId="0">
      <alignment horizontal="right" vertical="center"/>
    </xf>
    <xf numFmtId="0" fontId="0" fillId="3" borderId="3" pivotButton="0" quotePrefix="0" xfId="0"/>
    <xf numFmtId="0" fontId="7" fillId="0" borderId="4" applyAlignment="1" pivotButton="0" quotePrefix="0" xfId="0">
      <alignment horizontal="left" vertical="center" wrapText="1"/>
    </xf>
    <xf numFmtId="167" fontId="4" fillId="0" borderId="2" applyAlignment="1" pivotButton="0" quotePrefix="0" xfId="0">
      <alignment horizontal="right" vertical="center"/>
    </xf>
    <xf numFmtId="167" fontId="4" fillId="3" borderId="2" applyAlignment="1" pivotButton="0" quotePrefix="0" xfId="0">
      <alignment horizontal="right" vertical="center"/>
    </xf>
    <xf numFmtId="167" fontId="7" fillId="0" borderId="4" applyAlignment="1" pivotButton="0" quotePrefix="0" xfId="0">
      <alignment horizontal="right" vertical="center"/>
    </xf>
  </cellXfs>
  <cellStyles count="1">
    <cellStyle name="Normal" xfId="0" builtinId="0" hidden="0"/>
  </cellStyles>
  <dxfs count="10">
    <dxf>
      <font>
        <b val="1"/>
        <color rgb="00059669"/>
        <sz val="16"/>
      </font>
      <fill>
        <patternFill patternType="solid">
          <fgColor rgb="00D1FAE5"/>
          <bgColor rgb="00D1FAE5"/>
        </patternFill>
      </fill>
    </dxf>
    <dxf>
      <font>
        <b val="1"/>
        <color rgb="00DC2626"/>
        <sz val="16"/>
      </font>
      <fill>
        <patternFill patternType="solid">
          <fgColor rgb="00FEE2E2"/>
          <bgColor rgb="00FEE2E2"/>
        </patternFill>
      </fill>
    </dxf>
    <dxf>
      <font>
        <b val="1"/>
        <color rgb="00D97706"/>
        <sz val="16"/>
      </font>
      <fill>
        <patternFill patternType="solid">
          <fgColor rgb="00FEF3C7"/>
          <bgColor rgb="00FEF3C7"/>
        </patternFill>
      </fill>
    </dxf>
    <dxf>
      <font>
        <b val="1"/>
        <color rgb="00059669"/>
      </font>
      <fill>
        <patternFill patternType="solid">
          <fgColor rgb="00D1FAE5"/>
          <bgColor rgb="00D1FAE5"/>
        </patternFill>
      </fill>
    </dxf>
    <dxf>
      <font>
        <b val="1"/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b val="1"/>
        <color rgb="006B7280"/>
      </font>
      <fill>
        <patternFill patternType="solid">
          <fgColor rgb="00E5E7EB"/>
          <bgColor rgb="00E5E7EB"/>
        </patternFill>
      </fill>
    </dxf>
    <dxf>
      <font>
        <color rgb="00DC2626"/>
      </font>
      <fill>
        <patternFill patternType="solid">
          <fgColor rgb="00FEE2E2"/>
          <bgColor rgb="00FEE2E2"/>
        </patternFill>
      </fill>
    </dxf>
    <dxf>
      <font>
        <color rgb="00EA580C"/>
      </font>
      <fill>
        <patternFill patternType="solid">
          <fgColor rgb="00FFF7ED"/>
          <bgColor rgb="00FFF7ED"/>
        </patternFill>
      </fill>
    </dxf>
    <dxf>
      <font>
        <color rgb="00D97706"/>
      </font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Apex Electrical Contractors -- Change Order Recovery Dashboard</t>
        </is>
      </c>
    </row>
    <row r="2">
      <c r="A2" s="2" t="inlineStr">
        <is>
          <t>As of 2026-04-09</t>
        </is>
      </c>
    </row>
    <row r="3" ht="6" customHeight="1"/>
    <row r="4">
      <c r="A4" s="3" t="inlineStr">
        <is>
          <t>KEY PERFORMANCE INDICATORS</t>
        </is>
      </c>
    </row>
    <row r="5">
      <c r="A5" s="4" t="inlineStr">
        <is>
          <t>Total CO Value
Submitted</t>
        </is>
      </c>
      <c r="B5" s="4" t="inlineStr">
        <is>
          <t>Total Approved</t>
        </is>
      </c>
      <c r="C5" s="4" t="inlineStr">
        <is>
          <t>Total Pending</t>
        </is>
      </c>
      <c r="D5" s="4" t="inlineStr">
        <is>
          <t>Total Rejected</t>
        </is>
      </c>
      <c r="E5" s="4" t="inlineStr">
        <is>
          <t>Recovery Rate %</t>
        </is>
      </c>
      <c r="F5" s="4" t="inlineStr">
        <is>
          <t>Avg Days to
Approval</t>
        </is>
      </c>
      <c r="G5" s="4" t="inlineStr">
        <is>
          <t>Revenue at Risk
(Pending &gt; 30d)</t>
        </is>
      </c>
    </row>
    <row r="6">
      <c r="A6" s="5">
        <f>SUMPRODUCT(('By Project'!I5:I16&lt;&gt;"")*'By Project'!H5:H16)</f>
        <v/>
      </c>
      <c r="B6" s="5">
        <f>SUMIFS('By Project'!K5:K16,'By Project'!I5:I16,"Approved")</f>
        <v/>
      </c>
      <c r="C6" s="5">
        <f>SUMIFS('By Project'!H5:H16,'By Project'!I5:I16,"Pending")</f>
        <v/>
      </c>
      <c r="D6" s="5">
        <f>SUMIFS('By Project'!H5:H16,'By Project'!I5:I16,"Rejected")</f>
        <v/>
      </c>
      <c r="E6" s="6">
        <f>IF(A6=0,0,B6/A6)</f>
        <v/>
      </c>
      <c r="F6" s="7">
        <f>IFERROR(AVERAGEIFS('By Project'!L5:L16,'By Project'!I5:I16,"Approved"),0)</f>
        <v/>
      </c>
      <c r="G6" s="5">
        <f>SUMPRODUCT(('By Project'!I5:I16="Pending")*('By Project'!L5:L16&gt;30)*'By Project'!H5:H16)</f>
        <v/>
      </c>
    </row>
    <row r="7" ht="6" customHeight="1"/>
    <row r="8">
      <c r="A8" s="3" t="inlineStr">
        <is>
          <t>STATUS BREAKDOWN</t>
        </is>
      </c>
    </row>
    <row r="9">
      <c r="A9" s="8" t="inlineStr">
        <is>
          <t>Status</t>
        </is>
      </c>
      <c r="B9" s="9" t="inlineStr">
        <is>
          <t>Count</t>
        </is>
      </c>
      <c r="C9" s="9" t="inlineStr">
        <is>
          <t>Total Value</t>
        </is>
      </c>
      <c r="D9" s="9" t="inlineStr">
        <is>
          <t>% of Total</t>
        </is>
      </c>
    </row>
    <row r="10">
      <c r="A10" s="10" t="inlineStr">
        <is>
          <t>Approved</t>
        </is>
      </c>
      <c r="B10" s="11">
        <f>COUNTIF('By Project'!I5:I16,"Approved")</f>
        <v/>
      </c>
      <c r="C10" s="12">
        <f>SUMIFS('By Project'!K5:K16,'By Project'!I5:I16,"Approved")</f>
        <v/>
      </c>
      <c r="D10" s="13">
        <f>IF(A6=0,0,C10/A6)</f>
        <v/>
      </c>
    </row>
    <row r="11">
      <c r="A11" s="14" t="inlineStr">
        <is>
          <t>Pending</t>
        </is>
      </c>
      <c r="B11" s="15">
        <f>COUNTIF('By Project'!I5:I16,"Pending")</f>
        <v/>
      </c>
      <c r="C11" s="16">
        <f>SUMIFS('By Project'!H5:H16,'By Project'!I5:I16,"Pending")</f>
        <v/>
      </c>
      <c r="D11" s="17">
        <f>IF(A6=0,0,C11/A6)</f>
        <v/>
      </c>
    </row>
    <row r="12">
      <c r="A12" s="10" t="inlineStr">
        <is>
          <t>Rejected</t>
        </is>
      </c>
      <c r="B12" s="11">
        <f>COUNTIF('By Project'!I5:I16,"Rejected")</f>
        <v/>
      </c>
      <c r="C12" s="12">
        <f>SUMIFS('By Project'!H5:H16,'By Project'!I5:I16,"Rejected")</f>
        <v/>
      </c>
      <c r="D12" s="13">
        <f>IF(A6=0,0,C12/A6)</f>
        <v/>
      </c>
    </row>
    <row r="13">
      <c r="A13" s="14" t="inlineStr">
        <is>
          <t>Withdrawn</t>
        </is>
      </c>
      <c r="B13" s="15">
        <f>COUNTIF('By Project'!I5:I16,"Withdrawn")</f>
        <v/>
      </c>
      <c r="C13" s="16">
        <f>SUMIFS('By Project'!H5:H16,'By Project'!I5:I16,"Withdrawn")</f>
        <v/>
      </c>
      <c r="D13" s="17">
        <f>IF(A6=0,0,C13/A6)</f>
        <v/>
      </c>
    </row>
    <row r="14">
      <c r="A14" s="18" t="inlineStr">
        <is>
          <t>TOTAL</t>
        </is>
      </c>
      <c r="B14" s="19">
        <f>SUM(B10:B13)</f>
        <v/>
      </c>
      <c r="C14" s="20">
        <f>SUM(C10:C13)</f>
        <v/>
      </c>
      <c r="D14" s="21" t="n"/>
    </row>
    <row r="16">
      <c r="A16" s="3" t="inlineStr">
        <is>
          <t>BY PROJECT</t>
        </is>
      </c>
    </row>
    <row r="17">
      <c r="A17" s="8" t="inlineStr">
        <is>
          <t>Project</t>
        </is>
      </c>
      <c r="B17" s="9" t="inlineStr">
        <is>
          <t>COs</t>
        </is>
      </c>
      <c r="C17" s="9" t="inlineStr">
        <is>
          <t>Submitted</t>
        </is>
      </c>
      <c r="D17" s="9" t="inlineStr">
        <is>
          <t>Approved</t>
        </is>
      </c>
      <c r="E17" s="9" t="inlineStr">
        <is>
          <t>Recovery %</t>
        </is>
      </c>
    </row>
    <row r="18">
      <c r="A18" s="10" t="inlineStr">
        <is>
          <t>Mercy Hospital MRI Suite</t>
        </is>
      </c>
      <c r="B18" s="11">
        <f>COUNTIF('By Project'!B5:B6,A18)</f>
        <v/>
      </c>
      <c r="C18" s="12">
        <f>'By Project'!H7</f>
        <v/>
      </c>
      <c r="D18" s="12">
        <f>'By Project'!K7</f>
        <v/>
      </c>
      <c r="E18" s="13">
        <f>IF(C18=0,0,D18/C18)</f>
        <v/>
      </c>
    </row>
    <row r="19">
      <c r="A19" s="14" t="inlineStr">
        <is>
          <t>Target Store #4412</t>
        </is>
      </c>
      <c r="B19" s="15">
        <f>COUNTIF('By Project'!B8:B9,A19)</f>
        <v/>
      </c>
      <c r="C19" s="16">
        <f>'By Project'!H10</f>
        <v/>
      </c>
      <c r="D19" s="16">
        <f>'By Project'!K10</f>
        <v/>
      </c>
      <c r="E19" s="17">
        <f>IF(C19=0,0,D19/C19)</f>
        <v/>
      </c>
    </row>
    <row r="20">
      <c r="A20" s="10" t="inlineStr">
        <is>
          <t>Rivian Plant Phase 3</t>
        </is>
      </c>
      <c r="B20" s="11">
        <f>COUNTIF('By Project'!B11:B12,A20)</f>
        <v/>
      </c>
      <c r="C20" s="12">
        <f>'By Project'!H13</f>
        <v/>
      </c>
      <c r="D20" s="12">
        <f>'By Project'!K13</f>
        <v/>
      </c>
      <c r="E20" s="13">
        <f>IF(C20=0,0,D20/C20)</f>
        <v/>
      </c>
    </row>
    <row r="21">
      <c r="A21" s="14" t="inlineStr">
        <is>
          <t>Data Center Build-Out</t>
        </is>
      </c>
      <c r="B21" s="15">
        <f>COUNTIF('By Project'!B14:B15,A21)</f>
        <v/>
      </c>
      <c r="C21" s="16">
        <f>'By Project'!H16</f>
        <v/>
      </c>
      <c r="D21" s="16">
        <f>'By Project'!K16</f>
        <v/>
      </c>
      <c r="E21" s="17">
        <f>IF(C21=0,0,D21/C21)</f>
        <v/>
      </c>
    </row>
    <row r="24">
      <c r="A24" s="3" t="inlineStr">
        <is>
          <t>T&amp;M SUMMARY</t>
        </is>
      </c>
    </row>
    <row r="25">
      <c r="A25" s="22" t="inlineStr">
        <is>
          <t>Total T&amp;M Value</t>
        </is>
      </c>
      <c r="B25" s="23">
        <f>SUM('T&amp;M Log'!H5:H18)</f>
        <v/>
      </c>
    </row>
    <row r="26">
      <c r="A26" s="22" t="inlineStr">
        <is>
          <t>% Linked to COs</t>
        </is>
      </c>
      <c r="B26" s="24">
        <f>IF(COUNTA('T&amp;M Log'!A5:A18)=0,0,COUNTIF('T&amp;M Log'!J5:J18,"&lt;&gt;"&amp;"")/COUNTA('T&amp;M Log'!A5:A18))</f>
        <v/>
      </c>
    </row>
    <row r="27">
      <c r="A27" s="22" t="inlineStr">
        <is>
          <t>% with GC Signatures</t>
        </is>
      </c>
      <c r="B27" s="24">
        <f>IF(COUNTA('T&amp;M Log'!A5:A18)=0,0,COUNTIF('T&amp;M Log'!I5:I18,"Y")/COUNTA('T&amp;M Log'!A5:A18))</f>
        <v/>
      </c>
    </row>
  </sheetData>
  <mergeCells count="2">
    <mergeCell ref="A2:G2"/>
    <mergeCell ref="A1:G1"/>
  </mergeCells>
  <conditionalFormatting sqref="E6">
    <cfRule type="cellIs" priority="1" operator="greaterThanOrEqual" dxfId="0">
      <formula>0.8</formula>
    </cfRule>
    <cfRule type="cellIs" priority="2" operator="lessThan" dxfId="1">
      <formula>0.6</formula>
    </cfRule>
  </conditionalFormatting>
  <conditionalFormatting sqref="G6">
    <cfRule type="cellIs" priority="3" operator="greaterThan" dxfId="2">
      <formula>0</formula>
    </cfRule>
  </conditionalFormatting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2" customWidth="1" min="12" max="12"/>
    <col width="14" customWidth="1" min="13" max="13"/>
  </cols>
  <sheetData>
    <row r="1">
      <c r="A1" s="1" t="inlineStr">
        <is>
          <t>Apex Electrical Contractors -- Change Orders by Project</t>
        </is>
      </c>
    </row>
    <row r="2">
      <c r="A2" s="2" t="inlineStr">
        <is>
          <t>As of 2026-04-09</t>
        </is>
      </c>
    </row>
    <row r="3" ht="6" customHeight="1"/>
    <row r="4" ht="28" customHeight="1">
      <c r="A4" s="25" t="inlineStr">
        <is>
          <t>CO #</t>
        </is>
      </c>
      <c r="B4" s="25" t="inlineStr">
        <is>
          <t>Project Name</t>
        </is>
      </c>
      <c r="C4" s="25" t="inlineStr">
        <is>
          <t>Description</t>
        </is>
      </c>
      <c r="D4" s="25" t="inlineStr">
        <is>
          <t>Date Submitted</t>
        </is>
      </c>
      <c r="E4" s="9" t="inlineStr">
        <is>
          <t>Labor Cost</t>
        </is>
      </c>
      <c r="F4" s="9" t="inlineStr">
        <is>
          <t>Material Cost</t>
        </is>
      </c>
      <c r="G4" s="9" t="inlineStr">
        <is>
          <t>Markup</t>
        </is>
      </c>
      <c r="H4" s="9" t="inlineStr">
        <is>
          <t>Total Submitted</t>
        </is>
      </c>
      <c r="I4" s="8" t="inlineStr">
        <is>
          <t>Status</t>
        </is>
      </c>
      <c r="J4" s="9" t="inlineStr">
        <is>
          <t>Date Approved</t>
        </is>
      </c>
      <c r="K4" s="9" t="inlineStr">
        <is>
          <t>Amount Approved</t>
        </is>
      </c>
      <c r="L4" s="9" t="inlineStr">
        <is>
          <t>Aging (Days)</t>
        </is>
      </c>
      <c r="M4" s="8" t="inlineStr">
        <is>
          <t>Billing Status</t>
        </is>
      </c>
    </row>
    <row r="5">
      <c r="A5" s="26" t="inlineStr">
        <is>
          <t>CO-001</t>
        </is>
      </c>
      <c r="B5" s="10" t="inlineStr">
        <is>
          <t>Mercy Hospital MRI Suite</t>
        </is>
      </c>
      <c r="C5" s="10" t="inlineStr">
        <is>
          <t>Added isolation transformer and dedicated 200A panel for MRI equipment per revised MEP drawings</t>
        </is>
      </c>
      <c r="D5" s="27" t="n">
        <v>46037</v>
      </c>
      <c r="E5" s="28" t="n">
        <v>18500</v>
      </c>
      <c r="F5" s="28" t="n">
        <v>12800</v>
      </c>
      <c r="G5" s="12">
        <f>(E5+F5)*0.25</f>
        <v/>
      </c>
      <c r="H5" s="12">
        <f>E5+F5+G5</f>
        <v/>
      </c>
      <c r="I5" s="29" t="inlineStr">
        <is>
          <t>Approved</t>
        </is>
      </c>
      <c r="J5" s="27" t="n">
        <v>46056</v>
      </c>
      <c r="K5" s="28" t="n">
        <v>38200</v>
      </c>
      <c r="L5" s="11">
        <f>IF(I5="Approved",IF(J5="","",INT(J5-D5)),IF(D5="","",INT(TODAY()-D5)))</f>
        <v/>
      </c>
      <c r="M5" s="29" t="inlineStr">
        <is>
          <t>Billed</t>
        </is>
      </c>
    </row>
    <row r="6">
      <c r="A6" s="30" t="inlineStr">
        <is>
          <t>CO-002</t>
        </is>
      </c>
      <c r="B6" s="14" t="inlineStr">
        <is>
          <t>Mercy Hospital MRI Suite</t>
        </is>
      </c>
      <c r="C6" s="14" t="inlineStr">
        <is>
          <t>Reroute conduit runs in ceiling plenum due to unforeseen HVAC ductwork conflict</t>
        </is>
      </c>
      <c r="D6" s="31" t="n">
        <v>46063</v>
      </c>
      <c r="E6" s="32" t="n">
        <v>6200</v>
      </c>
      <c r="F6" s="32" t="n">
        <v>2100</v>
      </c>
      <c r="G6" s="16">
        <f>(E6+F6)*0.25</f>
        <v/>
      </c>
      <c r="H6" s="16">
        <f>E6+F6+G6</f>
        <v/>
      </c>
      <c r="I6" s="33" t="inlineStr">
        <is>
          <t>Approved</t>
        </is>
      </c>
      <c r="J6" s="31" t="n">
        <v>46081</v>
      </c>
      <c r="K6" s="32" t="n">
        <v>10375</v>
      </c>
      <c r="L6" s="15">
        <f>IF(I6="Approved",IF(J6="","",INT(J6-D6)),IF(D6="","",INT(TODAY()-D6)))</f>
        <v/>
      </c>
      <c r="M6" s="33" t="inlineStr">
        <is>
          <t>Collected</t>
        </is>
      </c>
    </row>
    <row r="7">
      <c r="A7" s="34" t="n"/>
      <c r="B7" s="35" t="inlineStr">
        <is>
          <t>Mercy Hospital MRI Suite Subtotal</t>
        </is>
      </c>
      <c r="C7" s="34" t="n"/>
      <c r="D7" s="34" t="n"/>
      <c r="E7" s="36">
        <f>SUM(E5:E6)</f>
        <v/>
      </c>
      <c r="F7" s="36">
        <f>SUM(F5:F6)</f>
        <v/>
      </c>
      <c r="G7" s="36">
        <f>SUM(G5:G6)</f>
        <v/>
      </c>
      <c r="H7" s="36">
        <f>SUM(H5:H6)</f>
        <v/>
      </c>
      <c r="I7" s="37" t="n"/>
      <c r="J7" s="37" t="n"/>
      <c r="K7" s="36">
        <f>SUM(K5:K6)</f>
        <v/>
      </c>
      <c r="L7" s="37" t="n"/>
      <c r="M7" s="37" t="n"/>
    </row>
    <row r="8">
      <c r="A8" s="26" t="inlineStr">
        <is>
          <t>CO-003</t>
        </is>
      </c>
      <c r="B8" s="10" t="inlineStr">
        <is>
          <t>Target Store #4412</t>
        </is>
      </c>
      <c r="C8" s="10" t="inlineStr">
        <is>
          <t>Add 12 additional LED high-bay fixtures in stockroom per revised RCP</t>
        </is>
      </c>
      <c r="D8" s="27" t="n">
        <v>46073</v>
      </c>
      <c r="E8" s="28" t="n">
        <v>4800</v>
      </c>
      <c r="F8" s="28" t="n">
        <v>7200</v>
      </c>
      <c r="G8" s="12">
        <f>(E8+F8)*0.25</f>
        <v/>
      </c>
      <c r="H8" s="12">
        <f>E8+F8+G8</f>
        <v/>
      </c>
      <c r="I8" s="29" t="inlineStr">
        <is>
          <t>Approved</t>
        </is>
      </c>
      <c r="J8" s="27" t="n">
        <v>46091</v>
      </c>
      <c r="K8" s="28" t="n">
        <v>15000</v>
      </c>
      <c r="L8" s="11">
        <f>IF(I8="Approved",IF(J8="","",INT(J8-D8)),IF(D8="","",INT(TODAY()-D8)))</f>
        <v/>
      </c>
      <c r="M8" s="29" t="inlineStr">
        <is>
          <t>Unbilled</t>
        </is>
      </c>
    </row>
    <row r="9">
      <c r="A9" s="30" t="inlineStr">
        <is>
          <t>CO-004</t>
        </is>
      </c>
      <c r="B9" s="14" t="inlineStr">
        <is>
          <t>Target Store #4412</t>
        </is>
      </c>
      <c r="C9" s="14" t="inlineStr">
        <is>
          <t>Upgrade 400A switchgear to accommodate additional EV charging stations</t>
        </is>
      </c>
      <c r="D9" s="31" t="n">
        <v>46050</v>
      </c>
      <c r="E9" s="32" t="n">
        <v>14200</v>
      </c>
      <c r="F9" s="32" t="n">
        <v>28500</v>
      </c>
      <c r="G9" s="16">
        <f>(E9+F9)*0.25</f>
        <v/>
      </c>
      <c r="H9" s="16">
        <f>E9+F9+G9</f>
        <v/>
      </c>
      <c r="I9" s="33" t="inlineStr">
        <is>
          <t>Pending</t>
        </is>
      </c>
      <c r="J9" s="30" t="n"/>
      <c r="K9" s="32" t="n">
        <v>0</v>
      </c>
      <c r="L9" s="15">
        <f>IF(I9="Approved",IF(J9="","",INT(J9-D9)),IF(D9="","",INT(TODAY()-D9)))</f>
        <v/>
      </c>
      <c r="M9" s="33" t="inlineStr">
        <is>
          <t>Unbilled</t>
        </is>
      </c>
    </row>
    <row r="10">
      <c r="A10" s="34" t="n"/>
      <c r="B10" s="35" t="inlineStr">
        <is>
          <t>Target Store #4412 Subtotal</t>
        </is>
      </c>
      <c r="C10" s="34" t="n"/>
      <c r="D10" s="34" t="n"/>
      <c r="E10" s="36">
        <f>SUM(E8:E9)</f>
        <v/>
      </c>
      <c r="F10" s="36">
        <f>SUM(F8:F9)</f>
        <v/>
      </c>
      <c r="G10" s="36">
        <f>SUM(G8:G9)</f>
        <v/>
      </c>
      <c r="H10" s="36">
        <f>SUM(H8:H9)</f>
        <v/>
      </c>
      <c r="I10" s="37" t="n"/>
      <c r="J10" s="37" t="n"/>
      <c r="K10" s="36">
        <f>SUM(K8:K9)</f>
        <v/>
      </c>
      <c r="L10" s="37" t="n"/>
      <c r="M10" s="37" t="n"/>
    </row>
    <row r="11">
      <c r="A11" s="26" t="inlineStr">
        <is>
          <t>CO-005</t>
        </is>
      </c>
      <c r="B11" s="10" t="inlineStr">
        <is>
          <t>Rivian Plant Phase 3</t>
        </is>
      </c>
      <c r="C11" s="10" t="inlineStr">
        <is>
          <t>Install temporary power distribution for early equipment commissioning</t>
        </is>
      </c>
      <c r="D11" s="27" t="n">
        <v>46082</v>
      </c>
      <c r="E11" s="28" t="n">
        <v>9800</v>
      </c>
      <c r="F11" s="28" t="n">
        <v>5600</v>
      </c>
      <c r="G11" s="12">
        <f>(E11+F11)*0.25</f>
        <v/>
      </c>
      <c r="H11" s="12">
        <f>E11+F11+G11</f>
        <v/>
      </c>
      <c r="I11" s="29" t="inlineStr">
        <is>
          <t>Pending</t>
        </is>
      </c>
      <c r="J11" s="26" t="n"/>
      <c r="K11" s="28" t="n">
        <v>0</v>
      </c>
      <c r="L11" s="11">
        <f>IF(I11="Approved",IF(J11="","",INT(J11-D11)),IF(D11="","",INT(TODAY()-D11)))</f>
        <v/>
      </c>
      <c r="M11" s="29" t="inlineStr">
        <is>
          <t>Unbilled</t>
        </is>
      </c>
    </row>
    <row r="12">
      <c r="A12" s="30" t="inlineStr">
        <is>
          <t>CO-006</t>
        </is>
      </c>
      <c r="B12" s="14" t="inlineStr">
        <is>
          <t>Rivian Plant Phase 3</t>
        </is>
      </c>
      <c r="C12" s="14" t="inlineStr">
        <is>
          <t>Additional fire alarm devices per revised life safety drawings</t>
        </is>
      </c>
      <c r="D12" s="31" t="n">
        <v>46058</v>
      </c>
      <c r="E12" s="32" t="n">
        <v>22000</v>
      </c>
      <c r="F12" s="32" t="n">
        <v>18500</v>
      </c>
      <c r="G12" s="16">
        <f>(E12+F12)*0.25</f>
        <v/>
      </c>
      <c r="H12" s="16">
        <f>E12+F12+G12</f>
        <v/>
      </c>
      <c r="I12" s="33" t="inlineStr">
        <is>
          <t>Pending</t>
        </is>
      </c>
      <c r="J12" s="30" t="n"/>
      <c r="K12" s="32" t="n">
        <v>0</v>
      </c>
      <c r="L12" s="15">
        <f>IF(I12="Approved",IF(J12="","",INT(J12-D12)),IF(D12="","",INT(TODAY()-D12)))</f>
        <v/>
      </c>
      <c r="M12" s="33" t="inlineStr">
        <is>
          <t>Unbilled</t>
        </is>
      </c>
    </row>
    <row r="13">
      <c r="A13" s="34" t="n"/>
      <c r="B13" s="35" t="inlineStr">
        <is>
          <t>Rivian Plant Phase 3 Subtotal</t>
        </is>
      </c>
      <c r="C13" s="34" t="n"/>
      <c r="D13" s="34" t="n"/>
      <c r="E13" s="36">
        <f>SUM(E11:E12)</f>
        <v/>
      </c>
      <c r="F13" s="36">
        <f>SUM(F11:F12)</f>
        <v/>
      </c>
      <c r="G13" s="36">
        <f>SUM(G11:G12)</f>
        <v/>
      </c>
      <c r="H13" s="36">
        <f>SUM(H11:H12)</f>
        <v/>
      </c>
      <c r="I13" s="37" t="n"/>
      <c r="J13" s="37" t="n"/>
      <c r="K13" s="36">
        <f>SUM(K11:K12)</f>
        <v/>
      </c>
      <c r="L13" s="37" t="n"/>
      <c r="M13" s="37" t="n"/>
    </row>
    <row r="14">
      <c r="A14" s="26" t="inlineStr">
        <is>
          <t>CO-007</t>
        </is>
      </c>
      <c r="B14" s="10" t="inlineStr">
        <is>
          <t>Data Center Build-Out</t>
        </is>
      </c>
      <c r="C14" s="10" t="inlineStr">
        <is>
          <t>Upgrade bus duct from 2000A to 3000A per revised single-line diagram</t>
        </is>
      </c>
      <c r="D14" s="27" t="n">
        <v>46068</v>
      </c>
      <c r="E14" s="28" t="n">
        <v>31000</v>
      </c>
      <c r="F14" s="28" t="n">
        <v>45000</v>
      </c>
      <c r="G14" s="12">
        <f>(E14+F14)*0.25</f>
        <v/>
      </c>
      <c r="H14" s="12">
        <f>E14+F14+G14</f>
        <v/>
      </c>
      <c r="I14" s="29" t="inlineStr">
        <is>
          <t>Pending</t>
        </is>
      </c>
      <c r="J14" s="26" t="n"/>
      <c r="K14" s="28" t="n">
        <v>0</v>
      </c>
      <c r="L14" s="11">
        <f>IF(I14="Approved",IF(J14="","",INT(J14-D14)),IF(D14="","",INT(TODAY()-D14)))</f>
        <v/>
      </c>
      <c r="M14" s="29" t="inlineStr">
        <is>
          <t>Unbilled</t>
        </is>
      </c>
    </row>
    <row r="15">
      <c r="A15" s="30" t="inlineStr">
        <is>
          <t>CO-008</t>
        </is>
      </c>
      <c r="B15" s="14" t="inlineStr">
        <is>
          <t>Data Center Build-Out</t>
        </is>
      </c>
      <c r="C15" s="14" t="inlineStr">
        <is>
          <t>Premium time for weekend work to meet accelerated schedule</t>
        </is>
      </c>
      <c r="D15" s="31" t="n">
        <v>46096</v>
      </c>
      <c r="E15" s="32" t="n">
        <v>8400</v>
      </c>
      <c r="F15" s="32" t="n">
        <v>0</v>
      </c>
      <c r="G15" s="16">
        <f>(E15+F15)*0.15</f>
        <v/>
      </c>
      <c r="H15" s="16">
        <f>E15+F15+G15</f>
        <v/>
      </c>
      <c r="I15" s="33" t="inlineStr">
        <is>
          <t>Rejected</t>
        </is>
      </c>
      <c r="J15" s="30" t="n"/>
      <c r="K15" s="32" t="n">
        <v>0</v>
      </c>
      <c r="L15" s="15">
        <f>IF(I15="Approved",IF(J15="","",INT(J15-D15)),IF(D15="","",INT(TODAY()-D15)))</f>
        <v/>
      </c>
      <c r="M15" s="33" t="inlineStr">
        <is>
          <t>Unbilled</t>
        </is>
      </c>
    </row>
    <row r="16">
      <c r="A16" s="34" t="n"/>
      <c r="B16" s="35" t="inlineStr">
        <is>
          <t>Data Center Build-Out Subtotal</t>
        </is>
      </c>
      <c r="C16" s="34" t="n"/>
      <c r="D16" s="34" t="n"/>
      <c r="E16" s="36">
        <f>SUM(E14:E15)</f>
        <v/>
      </c>
      <c r="F16" s="36">
        <f>SUM(F14:F15)</f>
        <v/>
      </c>
      <c r="G16" s="36">
        <f>SUM(G14:G15)</f>
        <v/>
      </c>
      <c r="H16" s="36">
        <f>SUM(H14:H15)</f>
        <v/>
      </c>
      <c r="I16" s="37" t="n"/>
      <c r="J16" s="37" t="n"/>
      <c r="K16" s="36">
        <f>SUM(K14:K15)</f>
        <v/>
      </c>
      <c r="L16" s="37" t="n"/>
      <c r="M16" s="37" t="n"/>
    </row>
    <row r="17">
      <c r="A17" s="21" t="n"/>
      <c r="B17" s="38" t="inlineStr">
        <is>
          <t>GRAND TOTAL</t>
        </is>
      </c>
      <c r="C17" s="21" t="n"/>
      <c r="D17" s="21" t="n"/>
      <c r="E17" s="20">
        <f>E7+E10+E13+E16</f>
        <v/>
      </c>
      <c r="F17" s="20">
        <f>F7+F10+F13+F16</f>
        <v/>
      </c>
      <c r="G17" s="20">
        <f>G7+G10+G13+G16</f>
        <v/>
      </c>
      <c r="H17" s="20">
        <f>H7+H10+H13+H16</f>
        <v/>
      </c>
      <c r="I17" s="21" t="n"/>
      <c r="J17" s="21" t="n"/>
      <c r="K17" s="20">
        <f>K7+K10+K13+K16</f>
        <v/>
      </c>
      <c r="L17" s="21" t="n"/>
      <c r="M17" s="21" t="n"/>
    </row>
  </sheetData>
  <autoFilter ref="A4:M16"/>
  <mergeCells count="2">
    <mergeCell ref="A2:L2"/>
    <mergeCell ref="A1:L1"/>
  </mergeCells>
  <conditionalFormatting sqref="I5:I16">
    <cfRule type="cellIs" priority="1" operator="equal" dxfId="3">
      <formula>"Approved"</formula>
    </cfRule>
    <cfRule type="cellIs" priority="2" operator="equal" dxfId="4">
      <formula>"Pending"</formula>
    </cfRule>
    <cfRule type="cellIs" priority="3" operator="equal" dxfId="5">
      <formula>"Rejected"</formula>
    </cfRule>
    <cfRule type="cellIs" priority="4" operator="equal" dxfId="6">
      <formula>"Withdrawn"</formula>
    </cfRule>
  </conditionalFormatting>
  <conditionalFormatting sqref="L5:L16">
    <cfRule type="cellIs" priority="5" operator="greaterThan" dxfId="7">
      <formula>60</formula>
    </cfRule>
    <cfRule type="cellIs" priority="6" operator="greaterThan" dxfId="8">
      <formula>30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Apex Electrical Contractors -- T&amp;M Log</t>
        </is>
      </c>
    </row>
    <row r="2">
      <c r="A2" s="2" t="inlineStr">
        <is>
          <t>As of 2026-04-09</t>
        </is>
      </c>
    </row>
    <row r="3" ht="6" customHeight="1"/>
    <row r="4" ht="28" customHeight="1">
      <c r="A4" s="25" t="inlineStr">
        <is>
          <t>Date</t>
        </is>
      </c>
      <c r="B4" s="25" t="inlineStr">
        <is>
          <t>Project</t>
        </is>
      </c>
      <c r="C4" s="25" t="inlineStr">
        <is>
          <t>Description</t>
        </is>
      </c>
      <c r="D4" s="9" t="inlineStr">
        <is>
          <t>Labor Hours</t>
        </is>
      </c>
      <c r="E4" s="9" t="inlineStr">
        <is>
          <t>Labor Cost</t>
        </is>
      </c>
      <c r="F4" s="9" t="inlineStr">
        <is>
          <t>Material Cost</t>
        </is>
      </c>
      <c r="G4" s="9" t="inlineStr">
        <is>
          <t>Equipment Cost</t>
        </is>
      </c>
      <c r="H4" s="9" t="inlineStr">
        <is>
          <t>Total</t>
        </is>
      </c>
      <c r="I4" s="8" t="inlineStr">
        <is>
          <t>GC Signature</t>
        </is>
      </c>
      <c r="J4" s="8" t="inlineStr">
        <is>
          <t>Linked CO #</t>
        </is>
      </c>
      <c r="K4" s="8" t="inlineStr">
        <is>
          <t>Status</t>
        </is>
      </c>
    </row>
    <row r="5">
      <c r="A5" s="27" t="n">
        <v>46034</v>
      </c>
      <c r="B5" s="10" t="inlineStr">
        <is>
          <t>Mercy Hospital MRI Suite</t>
        </is>
      </c>
      <c r="C5" s="10" t="inlineStr">
        <is>
          <t>Isolation transformer installation - journeyman electrician x2</t>
        </is>
      </c>
      <c r="D5" s="39" t="n">
        <v>16</v>
      </c>
      <c r="E5" s="28" t="n">
        <v>1520</v>
      </c>
      <c r="F5" s="28" t="n">
        <v>4200</v>
      </c>
      <c r="G5" s="28" t="n">
        <v>350</v>
      </c>
      <c r="H5" s="12">
        <f>E5+F5+G5</f>
        <v/>
      </c>
      <c r="I5" s="29" t="inlineStr">
        <is>
          <t>Y</t>
        </is>
      </c>
      <c r="J5" s="29" t="inlineStr">
        <is>
          <t>CO-001</t>
        </is>
      </c>
      <c r="K5" s="29" t="inlineStr">
        <is>
          <t>Linked</t>
        </is>
      </c>
    </row>
    <row r="6">
      <c r="A6" s="31" t="n">
        <v>46036</v>
      </c>
      <c r="B6" s="14" t="inlineStr">
        <is>
          <t>Mercy Hospital MRI Suite</t>
        </is>
      </c>
      <c r="C6" s="14" t="inlineStr">
        <is>
          <t>200A panel installation and circuit wiring</t>
        </is>
      </c>
      <c r="D6" s="40" t="n">
        <v>24</v>
      </c>
      <c r="E6" s="32" t="n">
        <v>2280</v>
      </c>
      <c r="F6" s="32" t="n">
        <v>8600</v>
      </c>
      <c r="G6" s="32" t="n">
        <v>0</v>
      </c>
      <c r="H6" s="16">
        <f>E6+F6+G6</f>
        <v/>
      </c>
      <c r="I6" s="33" t="inlineStr">
        <is>
          <t>Y</t>
        </is>
      </c>
      <c r="J6" s="33" t="inlineStr">
        <is>
          <t>CO-001</t>
        </is>
      </c>
      <c r="K6" s="33" t="inlineStr">
        <is>
          <t>Linked</t>
        </is>
      </c>
    </row>
    <row r="7">
      <c r="A7" s="27" t="n">
        <v>46061</v>
      </c>
      <c r="B7" s="10" t="inlineStr">
        <is>
          <t>Mercy Hospital MRI Suite</t>
        </is>
      </c>
      <c r="C7" s="10" t="inlineStr">
        <is>
          <t>Conduit reroute around HVAC ductwork - foreman + 2 journeymen</t>
        </is>
      </c>
      <c r="D7" s="39" t="n">
        <v>32</v>
      </c>
      <c r="E7" s="28" t="n">
        <v>3400</v>
      </c>
      <c r="F7" s="28" t="n">
        <v>2100</v>
      </c>
      <c r="G7" s="28" t="n">
        <v>180</v>
      </c>
      <c r="H7" s="12">
        <f>E7+F7+G7</f>
        <v/>
      </c>
      <c r="I7" s="29" t="inlineStr">
        <is>
          <t>Y</t>
        </is>
      </c>
      <c r="J7" s="29" t="inlineStr">
        <is>
          <t>CO-002</t>
        </is>
      </c>
      <c r="K7" s="29" t="inlineStr">
        <is>
          <t>Linked</t>
        </is>
      </c>
    </row>
    <row r="8">
      <c r="A8" s="31" t="n">
        <v>46071</v>
      </c>
      <c r="B8" s="14" t="inlineStr">
        <is>
          <t>Target Store #4412</t>
        </is>
      </c>
      <c r="C8" s="14" t="inlineStr">
        <is>
          <t>LED high-bay fixture installation in stockroom</t>
        </is>
      </c>
      <c r="D8" s="40" t="n">
        <v>20</v>
      </c>
      <c r="E8" s="32" t="n">
        <v>1900</v>
      </c>
      <c r="F8" s="32" t="n">
        <v>7200</v>
      </c>
      <c r="G8" s="32" t="n">
        <v>450</v>
      </c>
      <c r="H8" s="16">
        <f>E8+F8+G8</f>
        <v/>
      </c>
      <c r="I8" s="33" t="inlineStr">
        <is>
          <t>Y</t>
        </is>
      </c>
      <c r="J8" s="33" t="inlineStr">
        <is>
          <t>CO-003</t>
        </is>
      </c>
      <c r="K8" s="33" t="inlineStr">
        <is>
          <t>Linked</t>
        </is>
      </c>
    </row>
    <row r="9">
      <c r="A9" s="27" t="n">
        <v>46047</v>
      </c>
      <c r="B9" s="10" t="inlineStr">
        <is>
          <t>Target Store #4412</t>
        </is>
      </c>
      <c r="C9" s="10" t="inlineStr">
        <is>
          <t>Switchgear upgrade demo and prep work</t>
        </is>
      </c>
      <c r="D9" s="39" t="n">
        <v>12</v>
      </c>
      <c r="E9" s="28" t="n">
        <v>1140</v>
      </c>
      <c r="F9" s="28" t="n">
        <v>0</v>
      </c>
      <c r="G9" s="28" t="n">
        <v>200</v>
      </c>
      <c r="H9" s="12">
        <f>E9+F9+G9</f>
        <v/>
      </c>
      <c r="I9" s="29" t="inlineStr">
        <is>
          <t>Y</t>
        </is>
      </c>
      <c r="J9" s="29" t="inlineStr">
        <is>
          <t>CO-004</t>
        </is>
      </c>
      <c r="K9" s="29" t="inlineStr">
        <is>
          <t>Linked</t>
        </is>
      </c>
    </row>
    <row r="10">
      <c r="A10" s="31" t="n">
        <v>46081</v>
      </c>
      <c r="B10" s="14" t="inlineStr">
        <is>
          <t>Rivian Plant Phase 3</t>
        </is>
      </c>
      <c r="C10" s="14" t="inlineStr">
        <is>
          <t>Temporary power panel installation</t>
        </is>
      </c>
      <c r="D10" s="40" t="n">
        <v>8</v>
      </c>
      <c r="E10" s="32" t="n">
        <v>760</v>
      </c>
      <c r="F10" s="32" t="n">
        <v>1800</v>
      </c>
      <c r="G10" s="32" t="n">
        <v>0</v>
      </c>
      <c r="H10" s="16">
        <f>E10+F10+G10</f>
        <v/>
      </c>
      <c r="I10" s="33" t="inlineStr">
        <is>
          <t>Y</t>
        </is>
      </c>
      <c r="J10" s="33" t="inlineStr">
        <is>
          <t>CO-005</t>
        </is>
      </c>
      <c r="K10" s="33" t="inlineStr">
        <is>
          <t>Linked</t>
        </is>
      </c>
    </row>
    <row r="11">
      <c r="A11" s="27" t="n">
        <v>46056</v>
      </c>
      <c r="B11" s="10" t="inlineStr">
        <is>
          <t>Rivian Plant Phase 3</t>
        </is>
      </c>
      <c r="C11" s="10" t="inlineStr">
        <is>
          <t>Fire alarm device rough-in - Phase 1</t>
        </is>
      </c>
      <c r="D11" s="39" t="n">
        <v>40</v>
      </c>
      <c r="E11" s="28" t="n">
        <v>3800</v>
      </c>
      <c r="F11" s="28" t="n">
        <v>6200</v>
      </c>
      <c r="G11" s="28" t="n">
        <v>0</v>
      </c>
      <c r="H11" s="12">
        <f>E11+F11+G11</f>
        <v/>
      </c>
      <c r="I11" s="29" t="inlineStr">
        <is>
          <t>Y</t>
        </is>
      </c>
      <c r="J11" s="29" t="inlineStr">
        <is>
          <t>CO-006</t>
        </is>
      </c>
      <c r="K11" s="29" t="inlineStr">
        <is>
          <t>Linked</t>
        </is>
      </c>
    </row>
    <row r="12">
      <c r="A12" s="31" t="n">
        <v>46063</v>
      </c>
      <c r="B12" s="14" t="inlineStr">
        <is>
          <t>Rivian Plant Phase 3</t>
        </is>
      </c>
      <c r="C12" s="14" t="inlineStr">
        <is>
          <t>Fire alarm device rough-in - Phase 2</t>
        </is>
      </c>
      <c r="D12" s="40" t="n">
        <v>36</v>
      </c>
      <c r="E12" s="32" t="n">
        <v>3420</v>
      </c>
      <c r="F12" s="32" t="n">
        <v>4800</v>
      </c>
      <c r="G12" s="32" t="n">
        <v>0</v>
      </c>
      <c r="H12" s="16">
        <f>E12+F12+G12</f>
        <v/>
      </c>
      <c r="I12" s="33" t="inlineStr">
        <is>
          <t>N</t>
        </is>
      </c>
      <c r="J12" s="33" t="inlineStr">
        <is>
          <t>CO-006</t>
        </is>
      </c>
      <c r="K12" s="33" t="inlineStr">
        <is>
          <t>Linked</t>
        </is>
      </c>
    </row>
    <row r="13">
      <c r="A13" s="27" t="n">
        <v>46093</v>
      </c>
      <c r="B13" s="10" t="inlineStr">
        <is>
          <t>Data Center Build-Out</t>
        </is>
      </c>
      <c r="C13" s="10" t="inlineStr">
        <is>
          <t>Bus duct demo and measurement for upgrade</t>
        </is>
      </c>
      <c r="D13" s="39" t="n">
        <v>16</v>
      </c>
      <c r="E13" s="28" t="n">
        <v>1680</v>
      </c>
      <c r="F13" s="28" t="n">
        <v>0</v>
      </c>
      <c r="G13" s="28" t="n">
        <v>800</v>
      </c>
      <c r="H13" s="12">
        <f>E13+F13+G13</f>
        <v/>
      </c>
      <c r="I13" s="29" t="inlineStr">
        <is>
          <t>Y</t>
        </is>
      </c>
      <c r="J13" s="29" t="inlineStr">
        <is>
          <t>CO-007</t>
        </is>
      </c>
      <c r="K13" s="29" t="inlineStr">
        <is>
          <t>Linked</t>
        </is>
      </c>
    </row>
    <row r="14">
      <c r="A14" s="31" t="n">
        <v>46095</v>
      </c>
      <c r="B14" s="14" t="inlineStr">
        <is>
          <t>Data Center Build-Out</t>
        </is>
      </c>
      <c r="C14" s="14" t="inlineStr">
        <is>
          <t>Weekend overtime - cable pulling and termination</t>
        </is>
      </c>
      <c r="D14" s="40" t="n">
        <v>24</v>
      </c>
      <c r="E14" s="32" t="n">
        <v>3360</v>
      </c>
      <c r="F14" s="32" t="n">
        <v>0</v>
      </c>
      <c r="G14" s="32" t="n">
        <v>0</v>
      </c>
      <c r="H14" s="16">
        <f>E14+F14+G14</f>
        <v/>
      </c>
      <c r="I14" s="33" t="inlineStr">
        <is>
          <t>N</t>
        </is>
      </c>
      <c r="J14" s="33" t="inlineStr">
        <is>
          <t>CO-008</t>
        </is>
      </c>
      <c r="K14" s="33" t="inlineStr">
        <is>
          <t>Linked</t>
        </is>
      </c>
    </row>
    <row r="15">
      <c r="A15" s="27" t="n">
        <v>46101</v>
      </c>
      <c r="B15" s="10" t="inlineStr">
        <is>
          <t>Rivian Plant Phase 3</t>
        </is>
      </c>
      <c r="C15" s="10" t="inlineStr">
        <is>
          <t>Emergency generator connection - unplanned</t>
        </is>
      </c>
      <c r="D15" s="39" t="n">
        <v>8</v>
      </c>
      <c r="E15" s="28" t="n">
        <v>1120</v>
      </c>
      <c r="F15" s="28" t="n">
        <v>640</v>
      </c>
      <c r="G15" s="28" t="n">
        <v>0</v>
      </c>
      <c r="H15" s="12">
        <f>E15+F15+G15</f>
        <v/>
      </c>
      <c r="I15" s="29" t="inlineStr">
        <is>
          <t>N</t>
        </is>
      </c>
      <c r="J15" s="29" t="n"/>
      <c r="K15" s="29" t="inlineStr">
        <is>
          <t>Submitted</t>
        </is>
      </c>
    </row>
    <row r="16">
      <c r="A16" s="31" t="n">
        <v>46113</v>
      </c>
      <c r="B16" s="14" t="inlineStr">
        <is>
          <t>Data Center Build-Out</t>
        </is>
      </c>
      <c r="C16" s="14" t="inlineStr">
        <is>
          <t>Additional grounding electrode installation</t>
        </is>
      </c>
      <c r="D16" s="40" t="n">
        <v>12</v>
      </c>
      <c r="E16" s="32" t="n">
        <v>1260</v>
      </c>
      <c r="F16" s="32" t="n">
        <v>1800</v>
      </c>
      <c r="G16" s="32" t="n">
        <v>150</v>
      </c>
      <c r="H16" s="16">
        <f>E16+F16+G16</f>
        <v/>
      </c>
      <c r="I16" s="33" t="inlineStr">
        <is>
          <t>Y</t>
        </is>
      </c>
      <c r="J16" s="33" t="n"/>
      <c r="K16" s="33" t="inlineStr">
        <is>
          <t>Priced</t>
        </is>
      </c>
    </row>
    <row r="17">
      <c r="A17" s="27" t="n">
        <v>46115</v>
      </c>
      <c r="B17" s="10" t="inlineStr">
        <is>
          <t>Data Center Build-Out</t>
        </is>
      </c>
      <c r="C17" s="10" t="inlineStr">
        <is>
          <t>UPS bypass switch relocation</t>
        </is>
      </c>
      <c r="D17" s="39" t="n">
        <v>6</v>
      </c>
      <c r="E17" s="28" t="n">
        <v>630</v>
      </c>
      <c r="F17" s="28" t="n">
        <v>0</v>
      </c>
      <c r="G17" s="28" t="n">
        <v>0</v>
      </c>
      <c r="H17" s="12">
        <f>E17+F17+G17</f>
        <v/>
      </c>
      <c r="I17" s="29" t="inlineStr">
        <is>
          <t>N</t>
        </is>
      </c>
      <c r="J17" s="29" t="n"/>
      <c r="K17" s="29" t="inlineStr">
        <is>
          <t>Draft</t>
        </is>
      </c>
    </row>
    <row r="18">
      <c r="A18" s="31" t="n">
        <v>46117</v>
      </c>
      <c r="B18" s="14" t="inlineStr">
        <is>
          <t>Mercy Hospital MRI Suite</t>
        </is>
      </c>
      <c r="C18" s="14" t="inlineStr">
        <is>
          <t>Nurse call system conduit stub-outs - added scope</t>
        </is>
      </c>
      <c r="D18" s="40" t="n">
        <v>10</v>
      </c>
      <c r="E18" s="32" t="n">
        <v>950</v>
      </c>
      <c r="F18" s="32" t="n">
        <v>380</v>
      </c>
      <c r="G18" s="32" t="n">
        <v>0</v>
      </c>
      <c r="H18" s="16">
        <f>E18+F18+G18</f>
        <v/>
      </c>
      <c r="I18" s="33" t="inlineStr">
        <is>
          <t>N</t>
        </is>
      </c>
      <c r="J18" s="33" t="n"/>
      <c r="K18" s="33" t="inlineStr">
        <is>
          <t>Draft</t>
        </is>
      </c>
    </row>
    <row r="19">
      <c r="A19" s="18" t="inlineStr">
        <is>
          <t>TOTAL: 14 Tickets</t>
        </is>
      </c>
      <c r="B19" s="21" t="n"/>
      <c r="C19" s="21" t="n"/>
      <c r="D19" s="41">
        <f>SUM(D5:D18)</f>
        <v/>
      </c>
      <c r="E19" s="20">
        <f>SUM(E5:E18)</f>
        <v/>
      </c>
      <c r="F19" s="20">
        <f>SUM(F5:F18)</f>
        <v/>
      </c>
      <c r="G19" s="20">
        <f>SUM(G5:G18)</f>
        <v/>
      </c>
      <c r="H19" s="20">
        <f>SUM(H5:H18)</f>
        <v/>
      </c>
      <c r="I19" s="21" t="n"/>
      <c r="J19" s="21" t="n"/>
      <c r="K19" s="21" t="n"/>
    </row>
    <row r="21">
      <c r="A21" s="3" t="inlineStr">
        <is>
          <t>SUMMARY</t>
        </is>
      </c>
    </row>
    <row r="22">
      <c r="A22" s="22" t="inlineStr">
        <is>
          <t>Total T&amp;M Value</t>
        </is>
      </c>
      <c r="B22" s="23">
        <f>H19</f>
        <v/>
      </c>
    </row>
    <row r="23">
      <c r="A23" s="22" t="inlineStr">
        <is>
          <t>% Linked to COs</t>
        </is>
      </c>
      <c r="B23" s="24">
        <f>IF(COUNTA(J5:J18)=0,0,COUNTIF(J5:J18,"&lt;&gt;"&amp;"")/COUNTA(A5:A18))</f>
        <v/>
      </c>
    </row>
    <row r="24">
      <c r="A24" s="22" t="inlineStr">
        <is>
          <t>% with GC Signatures</t>
        </is>
      </c>
      <c r="B24" s="24">
        <f>IF(COUNTA(I5:I18)=0,0,COUNTIF(I5:I18,"Y")/COUNTA(A5:A18))</f>
        <v/>
      </c>
    </row>
  </sheetData>
  <autoFilter ref="A4:K18"/>
  <mergeCells count="2">
    <mergeCell ref="A2:K2"/>
    <mergeCell ref="A1:K1"/>
  </mergeCells>
  <conditionalFormatting sqref="I5:I18">
    <cfRule type="cellIs" priority="1" operator="equal" dxfId="5">
      <formula>"N"</formula>
    </cfRule>
    <cfRule type="cellIs" priority="2" operator="equal" dxfId="3">
      <formula>"Y"</formula>
    </cfRule>
  </conditionalFormatting>
  <conditionalFormatting sqref="J5:J18">
    <cfRule type="cellIs" priority="3" operator="equal" dxfId="9">
      <formula>""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2026-04-12T19:10:03Z</dcterms:created>
  <dcterms:modified xmlns:dcterms="http://purl.org/dc/terms/" xmlns:xsi="http://www.w3.org/2001/XMLSchema-instance" xsi:type="dcterms:W3CDTF">2026-04-12T19:10:03Z</dcterms:modified>
</cp:coreProperties>
</file>