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Open Positions" sheetId="3" state="visible" r:id="rId3"/>
  </sheets>
  <definedNames>
    <definedName name="TotalApplicants">'Dashboard'!$B$8</definedName>
    <definedName name="HiredCount">'Dashboard'!$B$11</definedName>
    <definedName name="ConversionRate">'Dashboard'!$B$13</definedName>
    <definedName name="_xlnm._FilterDatabase" localSheetId="1" hidden="1">'All Candidates'!$A$6:$Q$24</definedName>
    <definedName name="_xlnm.Print_Titles" localSheetId="1">'All Candidates'!$1:$6</definedName>
    <definedName name="_xlnm._FilterDatabase" localSheetId="2" hidden="1">'Open Positions'!$A$6:$P$12</definedName>
    <definedName name="_xlnm.Print_Titles" localSheetId="2">'Open Positions'!$1:$6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.00"/>
    <numFmt numFmtId="167" formatCode="0.0%"/>
    <numFmt numFmtId="168" formatCode="$#,##0"/>
  </numFmts>
  <fonts count="11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b val="1"/>
      <color rgb="00111010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right" vertical="center" wrapText="1"/>
    </xf>
    <xf numFmtId="167" fontId="7" fillId="0" borderId="2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3" fontId="7" fillId="3" borderId="2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168" fontId="6" fillId="0" borderId="2" applyAlignment="1" pivotButton="0" quotePrefix="0" xfId="0">
      <alignment horizontal="right" vertical="center" wrapText="1"/>
    </xf>
    <xf numFmtId="168" fontId="7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left" vertical="center" wrapText="1"/>
    </xf>
    <xf numFmtId="167" fontId="7" fillId="3" borderId="2" applyAlignment="1" pivotButton="0" quotePrefix="0" xfId="0">
      <alignment horizontal="right" vertical="center" wrapText="1"/>
    </xf>
    <xf numFmtId="168" fontId="6" fillId="3" borderId="2" applyAlignment="1" pivotButton="0" quotePrefix="0" xfId="0">
      <alignment horizontal="right" vertical="center" wrapText="1"/>
    </xf>
    <xf numFmtId="168" fontId="7" fillId="3" borderId="2" applyAlignment="1" pivotButton="0" quotePrefix="0" xfId="0">
      <alignment horizontal="right" vertical="center" wrapText="1"/>
    </xf>
    <xf numFmtId="0" fontId="8" fillId="0" borderId="3" applyAlignment="1" pivotButton="0" quotePrefix="0" xfId="0">
      <alignment horizontal="left" vertical="center" wrapText="1"/>
    </xf>
    <xf numFmtId="3" fontId="8" fillId="0" borderId="3" applyAlignment="1" pivotButton="0" quotePrefix="0" xfId="0">
      <alignment horizontal="right" vertical="center" wrapText="1"/>
    </xf>
    <xf numFmtId="167" fontId="8" fillId="0" borderId="3" applyAlignment="1" pivotButton="0" quotePrefix="0" xfId="0">
      <alignment horizontal="right" vertical="center" wrapText="1"/>
    </xf>
    <xf numFmtId="168" fontId="8" fillId="0" borderId="3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left" vertical="center" wrapText="1"/>
    </xf>
    <xf numFmtId="1" fontId="6" fillId="0" borderId="2" applyAlignment="1" pivotButton="0" quotePrefix="0" xfId="0">
      <alignment horizontal="right" vertical="center" wrapText="1"/>
    </xf>
    <xf numFmtId="166" fontId="6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left" vertical="center" wrapText="1"/>
    </xf>
    <xf numFmtId="1" fontId="6" fillId="3" borderId="2" applyAlignment="1" pivotButton="0" quotePrefix="0" xfId="0">
      <alignment horizontal="right" vertical="center" wrapText="1"/>
    </xf>
    <xf numFmtId="166" fontId="6" fillId="3" borderId="2" applyAlignment="1" pivotButton="0" quotePrefix="0" xfId="0">
      <alignment horizontal="right" vertical="center" wrapText="1"/>
    </xf>
    <xf numFmtId="0" fontId="8" fillId="0" borderId="3" pivotButton="0" quotePrefix="0" xfId="0"/>
    <xf numFmtId="0" fontId="0" fillId="0" borderId="3" pivotButton="0" quotePrefix="0" xfId="0"/>
    <xf numFmtId="3" fontId="6" fillId="0" borderId="2" applyAlignment="1" pivotButton="0" quotePrefix="0" xfId="0">
      <alignment horizontal="right" vertical="center" wrapText="1"/>
    </xf>
    <xf numFmtId="3" fontId="6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12">
    <dxf>
      <font>
        <b val="1"/>
        <color rgb="006B7280"/>
      </font>
      <fill>
        <patternFill patternType="solid">
          <fgColor rgb="00F3F4F6"/>
          <bgColor rgb="00F3F4F6"/>
        </patternFill>
      </fill>
    </dxf>
    <dxf>
      <font>
        <b val="1"/>
        <color rgb="00374151"/>
      </font>
      <fill>
        <patternFill patternType="solid">
          <fgColor rgb="00F3F4F6"/>
          <bgColor rgb="00F3F4F6"/>
        </patternFill>
      </fill>
    </dxf>
    <dxf>
      <font>
        <b val="1"/>
        <color rgb="007C3AED"/>
      </font>
      <fill>
        <patternFill patternType="solid">
          <fgColor rgb="00EDE9FE"/>
          <bgColor rgb="00EDE9FE"/>
        </patternFill>
      </fill>
    </dxf>
    <dxf>
      <font>
        <b val="1"/>
        <color rgb="001D4ED8"/>
      </font>
      <fill>
        <patternFill patternType="solid">
          <fgColor rgb="00DBEAFE"/>
          <bgColor rgb="00DBEAFE"/>
        </patternFill>
      </fill>
    </dxf>
    <dxf>
      <font>
        <b val="1"/>
        <color rgb="004338CA"/>
      </font>
      <fill>
        <patternFill patternType="solid">
          <fgColor rgb="00E0E7FF"/>
          <bgColor rgb="00E0E7FF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9B2C2C"/>
      </font>
      <fill>
        <patternFill patternType="solid">
          <fgColor rgb="00FEE2E2"/>
          <bgColor rgb="00FEE2E2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  <dxf>
      <font>
        <color rgb="00D97706"/>
      </font>
      <fill>
        <patternFill patternType="solid">
          <fgColor rgb="00FEF3C7"/>
          <bgColor rgb="00FEF3C7"/>
        </patternFill>
      </fill>
    </dxf>
    <dxf>
      <font>
        <color rgb="00059669"/>
      </font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H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Douglas Electric</t>
        </is>
      </c>
    </row>
    <row r="2">
      <c r="A2" s="2" t="inlineStr">
        <is>
          <t>Recruiting Pipeline Dashboard</t>
        </is>
      </c>
    </row>
    <row r="3">
      <c r="A3" s="3" t="inlineStr">
        <is>
          <t>As of 2026-04-09</t>
        </is>
      </c>
    </row>
    <row r="4">
      <c r="A4" s="3" t="inlineStr">
        <is>
          <t>Prepared by 1404 Labs</t>
        </is>
      </c>
    </row>
    <row r="5" ht="6" customHeight="1"/>
    <row r="6" ht="20" customHeight="1">
      <c r="A6" s="4" t="inlineStr">
        <is>
          <t>KEY METRICS</t>
        </is>
      </c>
    </row>
    <row r="7">
      <c r="A7" s="5" t="inlineStr">
        <is>
          <t>Open Positions</t>
        </is>
      </c>
      <c r="B7" s="6">
        <f>COUNTIF('Open Positions'!P7:P12,"Open")</f>
        <v/>
      </c>
    </row>
    <row r="8">
      <c r="A8" s="5" t="inlineStr">
        <is>
          <t>Total Applicants</t>
        </is>
      </c>
      <c r="B8" s="6">
        <f>COUNTA('All Candidates'!A7:A24)</f>
        <v/>
      </c>
    </row>
    <row r="9">
      <c r="A9" s="5" t="inlineStr">
        <is>
          <t>In Interview</t>
        </is>
      </c>
      <c r="B9" s="6">
        <f>COUNTIF('All Candidates'!H7:H24,"Interview")+COUNTIF('All Candidates'!H7:H24,"Skills Test")</f>
        <v/>
      </c>
    </row>
    <row r="10">
      <c r="A10" s="5" t="inlineStr">
        <is>
          <t>Offers Extended</t>
        </is>
      </c>
      <c r="B10" s="6">
        <f>COUNTIF('All Candidates'!H7:H24,"Offer")</f>
        <v/>
      </c>
    </row>
    <row r="11">
      <c r="A11" s="5" t="inlineStr">
        <is>
          <t>Offers Accepted (Hired)</t>
        </is>
      </c>
      <c r="B11" s="6">
        <f>COUNTIF('All Candidates'!H7:H24,"Hired")</f>
        <v/>
      </c>
    </row>
    <row r="12">
      <c r="A12" s="5" t="inlineStr">
        <is>
          <t>Time to Hire (Avg Days)</t>
        </is>
      </c>
      <c r="B12" s="6">
        <f>IFERROR(AVERAGEIFS('All Candidates'!P7:P24,'All Candidates'!H7:H24,"Hired"),"N/A")</f>
        <v/>
      </c>
    </row>
    <row r="13">
      <c r="A13" s="5" t="inlineStr">
        <is>
          <t>Pipeline Conversion Rate</t>
        </is>
      </c>
      <c r="B13" s="7">
        <f>IF(COUNTA('All Candidates'!A7:A24)=0,0,COUNTIF('All Candidates'!H7:H24,"Hired")/COUNTA('All Candidates'!A7:A24))</f>
        <v/>
      </c>
    </row>
    <row r="15">
      <c r="A15" s="4" t="inlineStr">
        <is>
          <t>OPEN POSITIONS SUMMARY</t>
        </is>
      </c>
    </row>
    <row r="16">
      <c r="A16" s="8" t="inlineStr">
        <is>
          <t>Position Title</t>
        </is>
      </c>
      <c r="B16" s="8" t="inlineStr">
        <is>
          <t>Classification</t>
        </is>
      </c>
      <c r="C16" s="8" t="inlineStr">
        <is>
          <t>Urgency</t>
        </is>
      </c>
      <c r="D16" s="9" t="inlineStr">
        <is>
          <t>Days Open</t>
        </is>
      </c>
      <c r="E16" s="9" t="inlineStr">
        <is>
          <t>Applicants</t>
        </is>
      </c>
      <c r="F16" s="9" t="inlineStr">
        <is>
          <t>In Interview</t>
        </is>
      </c>
      <c r="G16" s="9" t="inlineStr">
        <is>
          <t>Status</t>
        </is>
      </c>
    </row>
    <row r="17">
      <c r="A17" s="10">
        <f>'Open Positions'!B7</f>
        <v/>
      </c>
      <c r="B17" s="10">
        <f>'Open Positions'!C7</f>
        <v/>
      </c>
      <c r="C17" s="11">
        <f>'Open Positions'!G7</f>
        <v/>
      </c>
      <c r="D17" s="6">
        <f>'Open Positions'!O7</f>
        <v/>
      </c>
      <c r="E17" s="6">
        <f>'Open Positions'!N7</f>
        <v/>
      </c>
      <c r="F17" s="6">
        <f>COUNTIFS('All Candidates'!B7:B24,A17,'All Candidates'!H7:H24,"Interview")+COUNTIFS('All Candidates'!B7:B24,A17,'All Candidates'!H7:H24,"Skills Test")</f>
        <v/>
      </c>
      <c r="G17" s="11">
        <f>'Open Positions'!P7</f>
        <v/>
      </c>
    </row>
    <row r="18">
      <c r="A18" s="12">
        <f>'Open Positions'!B8</f>
        <v/>
      </c>
      <c r="B18" s="12">
        <f>'Open Positions'!C8</f>
        <v/>
      </c>
      <c r="C18" s="13">
        <f>'Open Positions'!G8</f>
        <v/>
      </c>
      <c r="D18" s="14">
        <f>'Open Positions'!O8</f>
        <v/>
      </c>
      <c r="E18" s="14">
        <f>'Open Positions'!N8</f>
        <v/>
      </c>
      <c r="F18" s="14">
        <f>COUNTIFS('All Candidates'!B7:B24,A18,'All Candidates'!H7:H24,"Interview")+COUNTIFS('All Candidates'!B7:B24,A18,'All Candidates'!H7:H24,"Skills Test")</f>
        <v/>
      </c>
      <c r="G18" s="13">
        <f>'Open Positions'!P8</f>
        <v/>
      </c>
    </row>
    <row r="19">
      <c r="A19" s="10">
        <f>'Open Positions'!B9</f>
        <v/>
      </c>
      <c r="B19" s="10">
        <f>'Open Positions'!C9</f>
        <v/>
      </c>
      <c r="C19" s="11">
        <f>'Open Positions'!G9</f>
        <v/>
      </c>
      <c r="D19" s="6">
        <f>'Open Positions'!O9</f>
        <v/>
      </c>
      <c r="E19" s="6">
        <f>'Open Positions'!N9</f>
        <v/>
      </c>
      <c r="F19" s="6">
        <f>COUNTIFS('All Candidates'!B7:B24,A19,'All Candidates'!H7:H24,"Interview")+COUNTIFS('All Candidates'!B7:B24,A19,'All Candidates'!H7:H24,"Skills Test")</f>
        <v/>
      </c>
      <c r="G19" s="11">
        <f>'Open Positions'!P9</f>
        <v/>
      </c>
    </row>
    <row r="20">
      <c r="A20" s="12">
        <f>'Open Positions'!B10</f>
        <v/>
      </c>
      <c r="B20" s="12">
        <f>'Open Positions'!C10</f>
        <v/>
      </c>
      <c r="C20" s="13">
        <f>'Open Positions'!G10</f>
        <v/>
      </c>
      <c r="D20" s="14">
        <f>'Open Positions'!O10</f>
        <v/>
      </c>
      <c r="E20" s="14">
        <f>'Open Positions'!N10</f>
        <v/>
      </c>
      <c r="F20" s="14">
        <f>COUNTIFS('All Candidates'!B7:B24,A20,'All Candidates'!H7:H24,"Interview")+COUNTIFS('All Candidates'!B7:B24,A20,'All Candidates'!H7:H24,"Skills Test")</f>
        <v/>
      </c>
      <c r="G20" s="13">
        <f>'Open Positions'!P10</f>
        <v/>
      </c>
    </row>
    <row r="21">
      <c r="A21" s="10">
        <f>'Open Positions'!B11</f>
        <v/>
      </c>
      <c r="B21" s="10">
        <f>'Open Positions'!C11</f>
        <v/>
      </c>
      <c r="C21" s="11">
        <f>'Open Positions'!G11</f>
        <v/>
      </c>
      <c r="D21" s="6">
        <f>'Open Positions'!O11</f>
        <v/>
      </c>
      <c r="E21" s="6">
        <f>'Open Positions'!N11</f>
        <v/>
      </c>
      <c r="F21" s="6">
        <f>COUNTIFS('All Candidates'!B7:B24,A21,'All Candidates'!H7:H24,"Interview")+COUNTIFS('All Candidates'!B7:B24,A21,'All Candidates'!H7:H24,"Skills Test")</f>
        <v/>
      </c>
      <c r="G21" s="11">
        <f>'Open Positions'!P11</f>
        <v/>
      </c>
    </row>
    <row r="22">
      <c r="A22" s="12">
        <f>'Open Positions'!B12</f>
        <v/>
      </c>
      <c r="B22" s="12">
        <f>'Open Positions'!C12</f>
        <v/>
      </c>
      <c r="C22" s="13">
        <f>'Open Positions'!G12</f>
        <v/>
      </c>
      <c r="D22" s="14">
        <f>'Open Positions'!O12</f>
        <v/>
      </c>
      <c r="E22" s="14">
        <f>'Open Positions'!N12</f>
        <v/>
      </c>
      <c r="F22" s="14">
        <f>COUNTIFS('All Candidates'!B7:B24,A22,'All Candidates'!H7:H24,"Interview")+COUNTIFS('All Candidates'!B7:B24,A22,'All Candidates'!H7:H24,"Skills Test")</f>
        <v/>
      </c>
      <c r="G22" s="13">
        <f>'Open Positions'!P12</f>
        <v/>
      </c>
    </row>
    <row r="24">
      <c r="A24" s="4" t="inlineStr">
        <is>
          <t>SOURCE EFFECTIVENESS</t>
        </is>
      </c>
    </row>
    <row r="25">
      <c r="A25" s="8" t="inlineStr">
        <is>
          <t>Source</t>
        </is>
      </c>
      <c r="B25" s="9" t="inlineStr">
        <is>
          <t>Applicants</t>
        </is>
      </c>
      <c r="C25" s="9" t="inlineStr">
        <is>
          <t>Hires</t>
        </is>
      </c>
      <c r="D25" s="9" t="inlineStr">
        <is>
          <t>Conversion Rate</t>
        </is>
      </c>
      <c r="E25" s="9" t="inlineStr">
        <is>
          <t>Monthly Cost</t>
        </is>
      </c>
      <c r="F25" s="9" t="inlineStr">
        <is>
          <t>Cost per Hire</t>
        </is>
      </c>
    </row>
    <row r="26">
      <c r="A26" s="15" t="inlineStr">
        <is>
          <t>Company Website</t>
        </is>
      </c>
      <c r="B26" s="6">
        <f>COUNTIF('All Candidates'!D7:D24,A26)</f>
        <v/>
      </c>
      <c r="C26" s="6">
        <f>COUNTIFS('All Candidates'!D7:D24,A26,'All Candidates'!H7:H24,"Hired")</f>
        <v/>
      </c>
      <c r="D26" s="7">
        <f>IF(B26=0,0,C26/B26)</f>
        <v/>
      </c>
      <c r="E26" s="16" t="n">
        <v>0</v>
      </c>
      <c r="F26" s="17">
        <f>IF(C26=0,"N/A",E26/C26)</f>
        <v/>
      </c>
    </row>
    <row r="27">
      <c r="A27" s="18" t="inlineStr">
        <is>
          <t>Indeed</t>
        </is>
      </c>
      <c r="B27" s="14">
        <f>COUNTIF('All Candidates'!D7:D24,A27)</f>
        <v/>
      </c>
      <c r="C27" s="14">
        <f>COUNTIFS('All Candidates'!D7:D24,A27,'All Candidates'!H7:H24,"Hired")</f>
        <v/>
      </c>
      <c r="D27" s="19">
        <f>IF(B27=0,0,C27/B27)</f>
        <v/>
      </c>
      <c r="E27" s="20" t="n">
        <v>350</v>
      </c>
      <c r="F27" s="21">
        <f>IF(C27=0,"N/A",E27/C27)</f>
        <v/>
      </c>
    </row>
    <row r="28">
      <c r="A28" s="15" t="inlineStr">
        <is>
          <t>Job Fair</t>
        </is>
      </c>
      <c r="B28" s="6">
        <f>COUNTIF('All Candidates'!D7:D24,A28)</f>
        <v/>
      </c>
      <c r="C28" s="6">
        <f>COUNTIFS('All Candidates'!D7:D24,A28,'All Candidates'!H7:H24,"Hired")</f>
        <v/>
      </c>
      <c r="D28" s="7">
        <f>IF(B28=0,0,C28/B28)</f>
        <v/>
      </c>
      <c r="E28" s="16" t="n">
        <v>500</v>
      </c>
      <c r="F28" s="17">
        <f>IF(C28=0,"N/A",E28/C28)</f>
        <v/>
      </c>
    </row>
    <row r="29">
      <c r="A29" s="18" t="inlineStr">
        <is>
          <t>Referral</t>
        </is>
      </c>
      <c r="B29" s="14">
        <f>COUNTIF('All Candidates'!D7:D24,A29)</f>
        <v/>
      </c>
      <c r="C29" s="14">
        <f>COUNTIFS('All Candidates'!D7:D24,A29,'All Candidates'!H7:H24,"Hired")</f>
        <v/>
      </c>
      <c r="D29" s="19">
        <f>IF(B29=0,0,C29/B29)</f>
        <v/>
      </c>
      <c r="E29" s="20" t="n">
        <v>0</v>
      </c>
      <c r="F29" s="21">
        <f>IF(C29=0,"N/A",E29/C29)</f>
        <v/>
      </c>
    </row>
    <row r="30">
      <c r="A30" s="15" t="inlineStr">
        <is>
          <t>Social Media</t>
        </is>
      </c>
      <c r="B30" s="6">
        <f>COUNTIF('All Candidates'!D7:D24,A30)</f>
        <v/>
      </c>
      <c r="C30" s="6">
        <f>COUNTIFS('All Candidates'!D7:D24,A30,'All Candidates'!H7:H24,"Hired")</f>
        <v/>
      </c>
      <c r="D30" s="7">
        <f>IF(B30=0,0,C30/B30)</f>
        <v/>
      </c>
      <c r="E30" s="16" t="n">
        <v>50</v>
      </c>
      <c r="F30" s="17">
        <f>IF(C30=0,"N/A",E30/C30)</f>
        <v/>
      </c>
    </row>
    <row r="31">
      <c r="A31" s="18" t="inlineStr">
        <is>
          <t>Trade School</t>
        </is>
      </c>
      <c r="B31" s="14">
        <f>COUNTIF('All Candidates'!D7:D24,A31)</f>
        <v/>
      </c>
      <c r="C31" s="14">
        <f>COUNTIFS('All Candidates'!D7:D24,A31,'All Candidates'!H7:H24,"Hired")</f>
        <v/>
      </c>
      <c r="D31" s="19">
        <f>IF(B31=0,0,C31/B31)</f>
        <v/>
      </c>
      <c r="E31" s="20" t="n">
        <v>0</v>
      </c>
      <c r="F31" s="21">
        <f>IF(C31=0,"N/A",E31/C31)</f>
        <v/>
      </c>
    </row>
    <row r="32">
      <c r="A32" s="15" t="inlineStr">
        <is>
          <t>Union Hall</t>
        </is>
      </c>
      <c r="B32" s="6">
        <f>COUNTIF('All Candidates'!D7:D24,A32)</f>
        <v/>
      </c>
      <c r="C32" s="6">
        <f>COUNTIFS('All Candidates'!D7:D24,A32,'All Candidates'!H7:H24,"Hired")</f>
        <v/>
      </c>
      <c r="D32" s="7">
        <f>IF(B32=0,0,C32/B32)</f>
        <v/>
      </c>
      <c r="E32" s="16" t="n">
        <v>0</v>
      </c>
      <c r="F32" s="17">
        <f>IF(C32=0,"N/A",E32/C32)</f>
        <v/>
      </c>
    </row>
    <row r="33">
      <c r="A33" s="18" t="inlineStr">
        <is>
          <t>Walk-in</t>
        </is>
      </c>
      <c r="B33" s="14">
        <f>COUNTIF('All Candidates'!D7:D24,A33)</f>
        <v/>
      </c>
      <c r="C33" s="14">
        <f>COUNTIFS('All Candidates'!D7:D24,A33,'All Candidates'!H7:H24,"Hired")</f>
        <v/>
      </c>
      <c r="D33" s="19">
        <f>IF(B33=0,0,C33/B33)</f>
        <v/>
      </c>
      <c r="E33" s="20" t="n">
        <v>0</v>
      </c>
      <c r="F33" s="21">
        <f>IF(C33=0,"N/A",E33/C33)</f>
        <v/>
      </c>
    </row>
    <row r="34">
      <c r="A34" s="22" t="inlineStr">
        <is>
          <t>TOTAL</t>
        </is>
      </c>
      <c r="B34" s="23">
        <f>SUM(B26:B33)</f>
        <v/>
      </c>
      <c r="C34" s="23">
        <f>SUM(C26:C33)</f>
        <v/>
      </c>
      <c r="D34" s="24">
        <f>IF(B34=0,0,C34/B34)</f>
        <v/>
      </c>
      <c r="E34" s="25">
        <f>SUM(E26:E33)</f>
        <v/>
      </c>
      <c r="F34" s="25">
        <f>IF(C34=0,"N/A",E34/C34)</f>
        <v/>
      </c>
    </row>
    <row r="36">
      <c r="A36" s="4" t="inlineStr">
        <is>
          <t>CANDIDATES BY STATUS</t>
        </is>
      </c>
    </row>
    <row r="37">
      <c r="A37" s="8" t="inlineStr">
        <is>
          <t>Status</t>
        </is>
      </c>
      <c r="B37" s="9" t="inlineStr">
        <is>
          <t>Count</t>
        </is>
      </c>
    </row>
    <row r="38">
      <c r="A38" s="15" t="inlineStr">
        <is>
          <t>New</t>
        </is>
      </c>
      <c r="B38" s="6">
        <f>COUNTIF('All Candidates'!H7:H24,A38)</f>
        <v/>
      </c>
    </row>
    <row r="39">
      <c r="A39" s="18" t="inlineStr">
        <is>
          <t>Screening</t>
        </is>
      </c>
      <c r="B39" s="14">
        <f>COUNTIF('All Candidates'!H7:H24,A39)</f>
        <v/>
      </c>
    </row>
    <row r="40">
      <c r="A40" s="15" t="inlineStr">
        <is>
          <t>Phone Screen</t>
        </is>
      </c>
      <c r="B40" s="6">
        <f>COUNTIF('All Candidates'!H7:H24,A40)</f>
        <v/>
      </c>
    </row>
    <row r="41">
      <c r="A41" s="18" t="inlineStr">
        <is>
          <t>Interview</t>
        </is>
      </c>
      <c r="B41" s="14">
        <f>COUNTIF('All Candidates'!H7:H24,A41)</f>
        <v/>
      </c>
    </row>
    <row r="42">
      <c r="A42" s="15" t="inlineStr">
        <is>
          <t>Skills Test</t>
        </is>
      </c>
      <c r="B42" s="6">
        <f>COUNTIF('All Candidates'!H7:H24,A42)</f>
        <v/>
      </c>
    </row>
    <row r="43">
      <c r="A43" s="18" t="inlineStr">
        <is>
          <t>Offer</t>
        </is>
      </c>
      <c r="B43" s="14">
        <f>COUNTIF('All Candidates'!H7:H24,A43)</f>
        <v/>
      </c>
    </row>
    <row r="44">
      <c r="A44" s="15" t="inlineStr">
        <is>
          <t>Hired</t>
        </is>
      </c>
      <c r="B44" s="6">
        <f>COUNTIF('All Candidates'!H7:H24,A44)</f>
        <v/>
      </c>
    </row>
    <row r="45">
      <c r="A45" s="18" t="inlineStr">
        <is>
          <t>Rejected</t>
        </is>
      </c>
      <c r="B45" s="14">
        <f>COUNTIF('All Candidates'!H7:H24,A45)</f>
        <v/>
      </c>
    </row>
    <row r="46">
      <c r="A46" s="15" t="inlineStr">
        <is>
          <t>Withdrew</t>
        </is>
      </c>
      <c r="B46" s="6">
        <f>COUNTIF('All Candidates'!H7:H24,A46)</f>
        <v/>
      </c>
    </row>
    <row r="47">
      <c r="A47" s="22" t="inlineStr">
        <is>
          <t>TOTAL</t>
        </is>
      </c>
      <c r="B47" s="23">
        <f>SUM(B38:B46)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Q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4" customWidth="1" min="7" max="7"/>
    <col width="14" customWidth="1" min="8" max="8"/>
    <col width="14" customWidth="1" min="9" max="9"/>
    <col width="1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30" customWidth="1" min="17" max="17"/>
  </cols>
  <sheetData>
    <row r="1">
      <c r="A1" s="1" t="inlineStr">
        <is>
          <t>Douglas Electric</t>
        </is>
      </c>
    </row>
    <row r="2">
      <c r="A2" s="2" t="inlineStr">
        <is>
          <t>Recruiting Pipeline -- All Candidates</t>
        </is>
      </c>
    </row>
    <row r="3">
      <c r="A3" s="3" t="inlineStr">
        <is>
          <t>As of 2026-04-09</t>
        </is>
      </c>
    </row>
    <row r="4">
      <c r="A4" s="3" t="inlineStr">
        <is>
          <t>Prepared by 1404 Labs</t>
        </is>
      </c>
    </row>
    <row r="5" ht="6" customHeight="1"/>
    <row r="6" ht="32" customHeight="1">
      <c r="A6" s="8" t="inlineStr">
        <is>
          <t>Candidate Name</t>
        </is>
      </c>
      <c r="B6" s="8" t="inlineStr">
        <is>
          <t>Position Applied</t>
        </is>
      </c>
      <c r="C6" s="8" t="inlineStr">
        <is>
          <t>Classification</t>
        </is>
      </c>
      <c r="D6" s="8" t="inlineStr">
        <is>
          <t>Source</t>
        </is>
      </c>
      <c r="E6" s="8" t="inlineStr">
        <is>
          <t>Date Applied</t>
        </is>
      </c>
      <c r="F6" s="8" t="inlineStr">
        <is>
          <t>Phone</t>
        </is>
      </c>
      <c r="G6" s="8" t="inlineStr">
        <is>
          <t>Email</t>
        </is>
      </c>
      <c r="H6" s="8" t="inlineStr">
        <is>
          <t>Status</t>
        </is>
      </c>
      <c r="I6" s="8" t="inlineStr">
        <is>
          <t>Interview Date</t>
        </is>
      </c>
      <c r="J6" s="8" t="inlineStr">
        <is>
          <t>Interviewer</t>
        </is>
      </c>
      <c r="K6" s="9" t="inlineStr">
        <is>
          <t>Skills Test Score</t>
        </is>
      </c>
      <c r="L6" s="9" t="inlineStr">
        <is>
          <t>Offered Rate ($/hr)</t>
        </is>
      </c>
      <c r="M6" s="9" t="inlineStr">
        <is>
          <t>Market Rate ($/hr)</t>
        </is>
      </c>
      <c r="N6" s="9" t="inlineStr">
        <is>
          <t>Rate vs Market</t>
        </is>
      </c>
      <c r="O6" s="8" t="inlineStr">
        <is>
          <t>Start Date</t>
        </is>
      </c>
      <c r="P6" s="9" t="inlineStr">
        <is>
          <t>Days in Pipeline</t>
        </is>
      </c>
      <c r="Q6" s="8" t="inlineStr">
        <is>
          <t>Notes</t>
        </is>
      </c>
    </row>
    <row r="7">
      <c r="A7" s="15" t="inlineStr">
        <is>
          <t>James Whitfield</t>
        </is>
      </c>
      <c r="B7" s="15" t="inlineStr">
        <is>
          <t>Journeyman Wireman</t>
        </is>
      </c>
      <c r="C7" s="26" t="inlineStr">
        <is>
          <t>JW</t>
        </is>
      </c>
      <c r="D7" s="15" t="inlineStr">
        <is>
          <t>Indeed</t>
        </is>
      </c>
      <c r="E7" s="27" t="n">
        <v>46096</v>
      </c>
      <c r="F7" s="15" t="inlineStr">
        <is>
          <t>(313) 555-0142</t>
        </is>
      </c>
      <c r="G7" s="15" t="inlineStr">
        <is>
          <t>jwhitfield@email.com</t>
        </is>
      </c>
      <c r="H7" s="26" t="inlineStr">
        <is>
          <t>Interview</t>
        </is>
      </c>
      <c r="I7" s="27" t="n">
        <v>46114</v>
      </c>
      <c r="J7" s="15" t="inlineStr">
        <is>
          <t>Mike Torres</t>
        </is>
      </c>
      <c r="K7" s="28" t="n"/>
      <c r="L7" s="29" t="n"/>
      <c r="M7" s="29" t="n">
        <v>42</v>
      </c>
      <c r="N7" s="7">
        <f>IF(OR(L7="",L7=0,M7="",M7=0),"",(L7-M7)/M7)</f>
        <v/>
      </c>
      <c r="O7" s="27" t="n"/>
      <c r="P7" s="6">
        <f>IF(E7="","",INT(TODAY()-E7))</f>
        <v/>
      </c>
      <c r="Q7" s="15" t="inlineStr">
        <is>
          <t>8 years commercial experience, strong conduit skills</t>
        </is>
      </c>
    </row>
    <row r="8">
      <c r="A8" s="18" t="inlineStr">
        <is>
          <t>Marcus Reed</t>
        </is>
      </c>
      <c r="B8" s="18" t="inlineStr">
        <is>
          <t>Journeyman Wireman</t>
        </is>
      </c>
      <c r="C8" s="30" t="inlineStr">
        <is>
          <t>JW</t>
        </is>
      </c>
      <c r="D8" s="18" t="inlineStr">
        <is>
          <t>Referral</t>
        </is>
      </c>
      <c r="E8" s="31" t="n">
        <v>46101</v>
      </c>
      <c r="F8" s="18" t="inlineStr">
        <is>
          <t>(248) 555-0198</t>
        </is>
      </c>
      <c r="G8" s="18" t="inlineStr">
        <is>
          <t>mreed77@email.com</t>
        </is>
      </c>
      <c r="H8" s="30" t="inlineStr">
        <is>
          <t>Skills Test</t>
        </is>
      </c>
      <c r="I8" s="31" t="n">
        <v>46109</v>
      </c>
      <c r="J8" s="18" t="inlineStr">
        <is>
          <t>Mike Torres</t>
        </is>
      </c>
      <c r="K8" s="32" t="n">
        <v>88</v>
      </c>
      <c r="L8" s="33" t="n"/>
      <c r="M8" s="33" t="n">
        <v>42</v>
      </c>
      <c r="N8" s="19">
        <f>IF(OR(L8="",L8=0,M8="",M8=0),"",(L8-M8)/M8)</f>
        <v/>
      </c>
      <c r="O8" s="31" t="n"/>
      <c r="P8" s="14">
        <f>IF(E8="","",INT(TODAY()-E8))</f>
        <v/>
      </c>
      <c r="Q8" s="18" t="inlineStr">
        <is>
          <t>Currently at Sackett Electric. Looking for better benefits.</t>
        </is>
      </c>
    </row>
    <row r="9">
      <c r="A9" s="15" t="inlineStr">
        <is>
          <t>David Okonkwo</t>
        </is>
      </c>
      <c r="B9" s="15" t="inlineStr">
        <is>
          <t>Journeyman Wireman</t>
        </is>
      </c>
      <c r="C9" s="26" t="inlineStr">
        <is>
          <t>JW</t>
        </is>
      </c>
      <c r="D9" s="15" t="inlineStr">
        <is>
          <t>Indeed</t>
        </is>
      </c>
      <c r="E9" s="27" t="n">
        <v>46113</v>
      </c>
      <c r="F9" s="15" t="inlineStr">
        <is>
          <t>(734) 555-0267</t>
        </is>
      </c>
      <c r="G9" s="15" t="inlineStr">
        <is>
          <t>dokonkwo@email.com</t>
        </is>
      </c>
      <c r="H9" s="26" t="inlineStr">
        <is>
          <t>Phone Screen</t>
        </is>
      </c>
      <c r="I9" s="27" t="n"/>
      <c r="J9" s="15" t="n"/>
      <c r="K9" s="28" t="n"/>
      <c r="L9" s="29" t="n"/>
      <c r="M9" s="29" t="n">
        <v>42</v>
      </c>
      <c r="N9" s="7">
        <f>IF(OR(L9="",L9=0,M9="",M9=0),"",(L9-M9)/M9)</f>
        <v/>
      </c>
      <c r="O9" s="27" t="n"/>
      <c r="P9" s="6">
        <f>IF(E9="","",INT(TODAY()-E9))</f>
        <v/>
      </c>
      <c r="Q9" s="15" t="inlineStr">
        <is>
          <t>6 years experience, IBEW card</t>
        </is>
      </c>
    </row>
    <row r="10">
      <c r="A10" s="18" t="inlineStr">
        <is>
          <t>Carlos Mendez</t>
        </is>
      </c>
      <c r="B10" s="18" t="inlineStr">
        <is>
          <t>Foreman</t>
        </is>
      </c>
      <c r="C10" s="30" t="inlineStr">
        <is>
          <t>Foreman</t>
        </is>
      </c>
      <c r="D10" s="18" t="inlineStr">
        <is>
          <t>Referral</t>
        </is>
      </c>
      <c r="E10" s="31" t="n">
        <v>46081</v>
      </c>
      <c r="F10" s="18" t="inlineStr">
        <is>
          <t>(313) 555-0334</t>
        </is>
      </c>
      <c r="G10" s="18" t="inlineStr">
        <is>
          <t>cmendez@email.com</t>
        </is>
      </c>
      <c r="H10" s="30" t="inlineStr">
        <is>
          <t>Offer</t>
        </is>
      </c>
      <c r="I10" s="31" t="n">
        <v>46091</v>
      </c>
      <c r="J10" s="18" t="inlineStr">
        <is>
          <t>Dave Kowalski</t>
        </is>
      </c>
      <c r="K10" s="32" t="n">
        <v>92</v>
      </c>
      <c r="L10" s="33" t="n">
        <v>52</v>
      </c>
      <c r="M10" s="33" t="n">
        <v>52</v>
      </c>
      <c r="N10" s="19">
        <f>IF(OR(L10="",L10=0,M10="",M10=0),"",(L10-M10)/M10)</f>
        <v/>
      </c>
      <c r="O10" s="31" t="n"/>
      <c r="P10" s="14">
        <f>IF(E10="","",INT(TODAY()-E10))</f>
        <v/>
      </c>
      <c r="Q10" s="18" t="inlineStr">
        <is>
          <t>12 years industrial, managed crews of 15+. Offer extended 4/5.</t>
        </is>
      </c>
    </row>
    <row r="11">
      <c r="A11" s="15" t="inlineStr">
        <is>
          <t>Ryan O'Malley</t>
        </is>
      </c>
      <c r="B11" s="15" t="inlineStr">
        <is>
          <t>3rd Year Apprentice</t>
        </is>
      </c>
      <c r="C11" s="26" t="inlineStr">
        <is>
          <t>Apprentice</t>
        </is>
      </c>
      <c r="D11" s="15" t="inlineStr">
        <is>
          <t>Trade School</t>
        </is>
      </c>
      <c r="E11" s="27" t="n">
        <v>46106</v>
      </c>
      <c r="F11" s="15" t="inlineStr">
        <is>
          <t>(248) 555-0412</t>
        </is>
      </c>
      <c r="G11" s="15" t="inlineStr">
        <is>
          <t>romalley@email.com</t>
        </is>
      </c>
      <c r="H11" s="26" t="inlineStr">
        <is>
          <t>Interview</t>
        </is>
      </c>
      <c r="I11" s="27" t="n">
        <v>46120</v>
      </c>
      <c r="J11" s="15" t="inlineStr">
        <is>
          <t>Mike Torres</t>
        </is>
      </c>
      <c r="K11" s="28" t="n"/>
      <c r="L11" s="29" t="n"/>
      <c r="M11" s="29" t="n">
        <v>24</v>
      </c>
      <c r="N11" s="7">
        <f>IF(OR(L11="",L11=0,M11="",M11=0),"",(L11-M11)/M11)</f>
        <v/>
      </c>
      <c r="O11" s="27" t="n"/>
      <c r="P11" s="6">
        <f>IF(E11="","",INT(TODAY()-E11))</f>
        <v/>
      </c>
      <c r="Q11" s="15" t="inlineStr">
        <is>
          <t>JATC 3rd year, strong classroom performance</t>
        </is>
      </c>
    </row>
    <row r="12">
      <c r="A12" s="18" t="inlineStr">
        <is>
          <t>Tyler Brooks</t>
        </is>
      </c>
      <c r="B12" s="18" t="inlineStr">
        <is>
          <t>Journeyman Wireman</t>
        </is>
      </c>
      <c r="C12" s="30" t="inlineStr">
        <is>
          <t>JW</t>
        </is>
      </c>
      <c r="D12" s="18" t="inlineStr">
        <is>
          <t>Indeed</t>
        </is>
      </c>
      <c r="E12" s="31" t="n">
        <v>46086</v>
      </c>
      <c r="F12" s="18" t="inlineStr">
        <is>
          <t>(586) 555-0178</t>
        </is>
      </c>
      <c r="G12" s="18" t="inlineStr">
        <is>
          <t>tbrooks@email.com</t>
        </is>
      </c>
      <c r="H12" s="30" t="inlineStr">
        <is>
          <t>Rejected</t>
        </is>
      </c>
      <c r="I12" s="31" t="n">
        <v>46099</v>
      </c>
      <c r="J12" s="18" t="inlineStr">
        <is>
          <t>Mike Torres</t>
        </is>
      </c>
      <c r="K12" s="32" t="n">
        <v>45</v>
      </c>
      <c r="L12" s="33" t="n"/>
      <c r="M12" s="33" t="n">
        <v>42</v>
      </c>
      <c r="N12" s="19">
        <f>IF(OR(L12="",L12=0,M12="",M12=0),"",(L12-M12)/M12)</f>
        <v/>
      </c>
      <c r="O12" s="31" t="n"/>
      <c r="P12" s="14">
        <f>IF(E12="","",INT(TODAY()-E12))</f>
        <v/>
      </c>
      <c r="Q12" s="18" t="inlineStr">
        <is>
          <t>Failed skills test -- weak on NEC code knowledge</t>
        </is>
      </c>
    </row>
    <row r="13">
      <c r="A13" s="15" t="inlineStr">
        <is>
          <t>Anthony Russo</t>
        </is>
      </c>
      <c r="B13" s="15" t="inlineStr">
        <is>
          <t>Fire Alarm Tech</t>
        </is>
      </c>
      <c r="C13" s="26" t="inlineStr">
        <is>
          <t>Fire Alarm Tech</t>
        </is>
      </c>
      <c r="D13" s="15" t="inlineStr">
        <is>
          <t>Indeed</t>
        </is>
      </c>
      <c r="E13" s="27" t="n">
        <v>46115</v>
      </c>
      <c r="F13" s="15" t="inlineStr">
        <is>
          <t>(734) 555-0521</t>
        </is>
      </c>
      <c r="G13" s="15" t="inlineStr">
        <is>
          <t>arusso@email.com</t>
        </is>
      </c>
      <c r="H13" s="26" t="inlineStr">
        <is>
          <t>New</t>
        </is>
      </c>
      <c r="I13" s="27" t="n"/>
      <c r="J13" s="15" t="n"/>
      <c r="K13" s="28" t="n"/>
      <c r="L13" s="29" t="n"/>
      <c r="M13" s="29" t="n">
        <v>38</v>
      </c>
      <c r="N13" s="7">
        <f>IF(OR(L13="",L13=0,M13="",M13=0),"",(L13-M13)/M13)</f>
        <v/>
      </c>
      <c r="O13" s="27" t="n"/>
      <c r="P13" s="6">
        <f>IF(E13="","",INT(TODAY()-E13))</f>
        <v/>
      </c>
      <c r="Q13" s="15" t="inlineStr">
        <is>
          <t>NICET II certified, 4 years at SimplexGrinnell</t>
        </is>
      </c>
    </row>
    <row r="14">
      <c r="A14" s="18" t="inlineStr">
        <is>
          <t>Brandon Hayes</t>
        </is>
      </c>
      <c r="B14" s="18" t="inlineStr">
        <is>
          <t>Helper/Pre-Apprentice</t>
        </is>
      </c>
      <c r="C14" s="30" t="inlineStr">
        <is>
          <t>Helper</t>
        </is>
      </c>
      <c r="D14" s="18" t="inlineStr">
        <is>
          <t>Walk-in</t>
        </is>
      </c>
      <c r="E14" s="31" t="n">
        <v>46119</v>
      </c>
      <c r="F14" s="18" t="inlineStr">
        <is>
          <t>(313) 555-0689</t>
        </is>
      </c>
      <c r="G14" s="18" t="n"/>
      <c r="H14" s="30" t="inlineStr">
        <is>
          <t>New</t>
        </is>
      </c>
      <c r="I14" s="31" t="n"/>
      <c r="J14" s="18" t="n"/>
      <c r="K14" s="32" t="n"/>
      <c r="L14" s="33" t="n"/>
      <c r="M14" s="33" t="n">
        <v>18</v>
      </c>
      <c r="N14" s="19">
        <f>IF(OR(L14="",L14=0,M14="",M14=0),"",(L14-M14)/M14)</f>
        <v/>
      </c>
      <c r="O14" s="31" t="n"/>
      <c r="P14" s="14">
        <f>IF(E14="","",INT(TODAY()-E14))</f>
        <v/>
      </c>
      <c r="Q14" s="18" t="inlineStr">
        <is>
          <t>No experience, eager to learn. Heard about us from job site sign.</t>
        </is>
      </c>
    </row>
    <row r="15">
      <c r="A15" s="15" t="inlineStr">
        <is>
          <t>Kevin Park</t>
        </is>
      </c>
      <c r="B15" s="15" t="inlineStr">
        <is>
          <t>3rd Year Apprentice</t>
        </is>
      </c>
      <c r="C15" s="26" t="inlineStr">
        <is>
          <t>Apprentice</t>
        </is>
      </c>
      <c r="D15" s="15" t="inlineStr">
        <is>
          <t>Trade School</t>
        </is>
      </c>
      <c r="E15" s="27" t="n">
        <v>46109</v>
      </c>
      <c r="F15" s="15" t="inlineStr">
        <is>
          <t>(248) 555-0745</t>
        </is>
      </c>
      <c r="G15" s="15" t="inlineStr">
        <is>
          <t>kpark@email.com</t>
        </is>
      </c>
      <c r="H15" s="26" t="inlineStr">
        <is>
          <t>Phone Screen</t>
        </is>
      </c>
      <c r="I15" s="27" t="n"/>
      <c r="J15" s="15" t="n"/>
      <c r="K15" s="28" t="n"/>
      <c r="L15" s="29" t="n"/>
      <c r="M15" s="29" t="n">
        <v>24</v>
      </c>
      <c r="N15" s="7">
        <f>IF(OR(L15="",L15=0,M15="",M15=0),"",(L15-M15)/M15)</f>
        <v/>
      </c>
      <c r="O15" s="27" t="n"/>
      <c r="P15" s="6">
        <f>IF(E15="","",INT(TODAY()-E15))</f>
        <v/>
      </c>
      <c r="Q15" s="15" t="inlineStr">
        <is>
          <t>Southeastern Michigan JATC referral</t>
        </is>
      </c>
    </row>
    <row r="16">
      <c r="A16" s="18" t="inlineStr">
        <is>
          <t>Jerome Washington</t>
        </is>
      </c>
      <c r="B16" s="18" t="inlineStr">
        <is>
          <t>Foreman</t>
        </is>
      </c>
      <c r="C16" s="30" t="inlineStr">
        <is>
          <t>Foreman</t>
        </is>
      </c>
      <c r="D16" s="18" t="inlineStr">
        <is>
          <t>Referral</t>
        </is>
      </c>
      <c r="E16" s="31" t="n">
        <v>46082</v>
      </c>
      <c r="F16" s="18" t="inlineStr">
        <is>
          <t>(313) 555-0856</t>
        </is>
      </c>
      <c r="G16" s="18" t="inlineStr">
        <is>
          <t>jwash@email.com</t>
        </is>
      </c>
      <c r="H16" s="30" t="inlineStr">
        <is>
          <t>Rejected</t>
        </is>
      </c>
      <c r="I16" s="31" t="n">
        <v>46093</v>
      </c>
      <c r="J16" s="18" t="inlineStr">
        <is>
          <t>Dave Kowalski</t>
        </is>
      </c>
      <c r="K16" s="32" t="n">
        <v>65</v>
      </c>
      <c r="L16" s="33" t="n"/>
      <c r="M16" s="33" t="n">
        <v>52</v>
      </c>
      <c r="N16" s="19">
        <f>IF(OR(L16="",L16=0,M16="",M16=0),"",(L16-M16)/M16)</f>
        <v/>
      </c>
      <c r="O16" s="31" t="n"/>
      <c r="P16" s="14">
        <f>IF(E16="","",INT(TODAY()-E16))</f>
        <v/>
      </c>
      <c r="Q16" s="18" t="inlineStr">
        <is>
          <t>Good people skills but insufficient industrial experience</t>
        </is>
      </c>
    </row>
    <row r="17">
      <c r="A17" s="15" t="inlineStr">
        <is>
          <t>Derek Simmons</t>
        </is>
      </c>
      <c r="B17" s="15" t="inlineStr">
        <is>
          <t>Journeyman Wireman</t>
        </is>
      </c>
      <c r="C17" s="26" t="inlineStr">
        <is>
          <t>JW</t>
        </is>
      </c>
      <c r="D17" s="15" t="inlineStr">
        <is>
          <t>Job Fair</t>
        </is>
      </c>
      <c r="E17" s="27" t="n">
        <v>46103</v>
      </c>
      <c r="F17" s="15" t="inlineStr">
        <is>
          <t>(248) 555-0913</t>
        </is>
      </c>
      <c r="G17" s="15" t="inlineStr">
        <is>
          <t>dsimmons@email.com</t>
        </is>
      </c>
      <c r="H17" s="26" t="inlineStr">
        <is>
          <t>Interview</t>
        </is>
      </c>
      <c r="I17" s="27" t="n">
        <v>46122</v>
      </c>
      <c r="J17" s="15" t="inlineStr">
        <is>
          <t>Mike Torres</t>
        </is>
      </c>
      <c r="K17" s="28" t="n"/>
      <c r="L17" s="29" t="n"/>
      <c r="M17" s="29" t="n">
        <v>42</v>
      </c>
      <c r="N17" s="7">
        <f>IF(OR(L17="",L17=0,M17="",M17=0),"",(L17-M17)/M17)</f>
        <v/>
      </c>
      <c r="O17" s="27" t="n"/>
      <c r="P17" s="6">
        <f>IF(E17="","",INT(TODAY()-E17))</f>
        <v/>
      </c>
      <c r="Q17" s="15" t="inlineStr">
        <is>
          <t>Met at skilled trades career fair. 5 years residential, transitioning to commercial.</t>
        </is>
      </c>
    </row>
    <row r="18">
      <c r="A18" s="18" t="inlineStr">
        <is>
          <t>Nathan Volkov</t>
        </is>
      </c>
      <c r="B18" s="18" t="inlineStr">
        <is>
          <t>Journeyman Wireman</t>
        </is>
      </c>
      <c r="C18" s="30" t="inlineStr">
        <is>
          <t>JW</t>
        </is>
      </c>
      <c r="D18" s="18" t="inlineStr">
        <is>
          <t>Referral</t>
        </is>
      </c>
      <c r="E18" s="31" t="n">
        <v>46063</v>
      </c>
      <c r="F18" s="18" t="inlineStr">
        <is>
          <t>(734) 555-1047</t>
        </is>
      </c>
      <c r="G18" s="18" t="inlineStr">
        <is>
          <t>nvolkov@email.com</t>
        </is>
      </c>
      <c r="H18" s="30" t="inlineStr">
        <is>
          <t>Hired</t>
        </is>
      </c>
      <c r="I18" s="31" t="n">
        <v>46073</v>
      </c>
      <c r="J18" s="18" t="inlineStr">
        <is>
          <t>Mike Torres</t>
        </is>
      </c>
      <c r="K18" s="32" t="n">
        <v>91</v>
      </c>
      <c r="L18" s="33" t="n">
        <v>43</v>
      </c>
      <c r="M18" s="33" t="n">
        <v>42</v>
      </c>
      <c r="N18" s="19">
        <f>IF(OR(L18="",L18=0,M18="",M18=0),"",(L18-M18)/M18)</f>
        <v/>
      </c>
      <c r="O18" s="31" t="n">
        <v>46084</v>
      </c>
      <c r="P18" s="14">
        <f>IF(E18="","",INT(TODAY()-E18))</f>
        <v/>
      </c>
      <c r="Q18" s="18" t="inlineStr">
        <is>
          <t>Excellent hire. 10 years commercial, OSHA 30, NFPA 70E.</t>
        </is>
      </c>
    </row>
    <row r="19">
      <c r="A19" s="15" t="inlineStr">
        <is>
          <t>Amir Patel</t>
        </is>
      </c>
      <c r="B19" s="15" t="inlineStr">
        <is>
          <t>3rd Year Apprentice</t>
        </is>
      </c>
      <c r="C19" s="26" t="inlineStr">
        <is>
          <t>Apprentice</t>
        </is>
      </c>
      <c r="D19" s="15" t="inlineStr">
        <is>
          <t>Trade School</t>
        </is>
      </c>
      <c r="E19" s="27" t="n">
        <v>46037</v>
      </c>
      <c r="F19" s="15" t="inlineStr">
        <is>
          <t>(248) 555-1123</t>
        </is>
      </c>
      <c r="G19" s="15" t="inlineStr">
        <is>
          <t>apatel@email.com</t>
        </is>
      </c>
      <c r="H19" s="26" t="inlineStr">
        <is>
          <t>Hired</t>
        </is>
      </c>
      <c r="I19" s="27" t="n">
        <v>46047</v>
      </c>
      <c r="J19" s="15" t="inlineStr">
        <is>
          <t>Mike Torres</t>
        </is>
      </c>
      <c r="K19" s="28" t="n">
        <v>82</v>
      </c>
      <c r="L19" s="29" t="n">
        <v>24</v>
      </c>
      <c r="M19" s="29" t="n">
        <v>24</v>
      </c>
      <c r="N19" s="7">
        <f>IF(OR(L19="",L19=0,M19="",M19=0),"",(L19-M19)/M19)</f>
        <v/>
      </c>
      <c r="O19" s="27" t="n">
        <v>46063</v>
      </c>
      <c r="P19" s="6">
        <f>IF(E19="","",INT(TODAY()-E19))</f>
        <v/>
      </c>
      <c r="Q19" s="15" t="inlineStr">
        <is>
          <t>JATC top of class. Started Feb 10.</t>
        </is>
      </c>
    </row>
    <row r="20">
      <c r="A20" s="18" t="inlineStr">
        <is>
          <t>Chris Donovan</t>
        </is>
      </c>
      <c r="B20" s="18" t="inlineStr">
        <is>
          <t>Foreman</t>
        </is>
      </c>
      <c r="C20" s="30" t="inlineStr">
        <is>
          <t>Foreman</t>
        </is>
      </c>
      <c r="D20" s="18" t="inlineStr">
        <is>
          <t>Indeed</t>
        </is>
      </c>
      <c r="E20" s="31" t="n">
        <v>46117</v>
      </c>
      <c r="F20" s="18" t="inlineStr">
        <is>
          <t>(586) 555-1234</t>
        </is>
      </c>
      <c r="G20" s="18" t="inlineStr">
        <is>
          <t>cdonovan@email.com</t>
        </is>
      </c>
      <c r="H20" s="30" t="inlineStr">
        <is>
          <t>New</t>
        </is>
      </c>
      <c r="I20" s="31" t="n"/>
      <c r="J20" s="18" t="n"/>
      <c r="K20" s="32" t="n"/>
      <c r="L20" s="33" t="n"/>
      <c r="M20" s="33" t="n">
        <v>52</v>
      </c>
      <c r="N20" s="19">
        <f>IF(OR(L20="",L20=0,M20="",M20=0),"",(L20-M20)/M20)</f>
        <v/>
      </c>
      <c r="O20" s="31" t="n"/>
      <c r="P20" s="14">
        <f>IF(E20="","",INT(TODAY()-E20))</f>
        <v/>
      </c>
      <c r="Q20" s="18" t="inlineStr">
        <is>
          <t>15 years industrial, currently employed at Motor City Electric</t>
        </is>
      </c>
    </row>
    <row r="21">
      <c r="A21" s="15" t="inlineStr">
        <is>
          <t>Sean Murphy</t>
        </is>
      </c>
      <c r="B21" s="15" t="inlineStr">
        <is>
          <t>Fire Alarm Tech</t>
        </is>
      </c>
      <c r="C21" s="26" t="inlineStr">
        <is>
          <t>Fire Alarm Tech</t>
        </is>
      </c>
      <c r="D21" s="15" t="inlineStr">
        <is>
          <t>Job Fair</t>
        </is>
      </c>
      <c r="E21" s="27" t="n">
        <v>46103</v>
      </c>
      <c r="F21" s="15" t="inlineStr">
        <is>
          <t>(248) 555-1367</t>
        </is>
      </c>
      <c r="G21" s="15" t="inlineStr">
        <is>
          <t>smurphy@email.com</t>
        </is>
      </c>
      <c r="H21" s="26" t="inlineStr">
        <is>
          <t>Phone Screen</t>
        </is>
      </c>
      <c r="I21" s="27" t="n"/>
      <c r="J21" s="15" t="n"/>
      <c r="K21" s="28" t="n"/>
      <c r="L21" s="29" t="n"/>
      <c r="M21" s="29" t="n">
        <v>38</v>
      </c>
      <c r="N21" s="7">
        <f>IF(OR(L21="",L21=0,M21="",M21=0),"",(L21-M21)/M21)</f>
        <v/>
      </c>
      <c r="O21" s="27" t="n"/>
      <c r="P21" s="6">
        <f>IF(E21="","",INT(TODAY()-E21))</f>
        <v/>
      </c>
      <c r="Q21" s="15" t="inlineStr">
        <is>
          <t>NICET I, working toward Level II. 2 years experience.</t>
        </is>
      </c>
    </row>
    <row r="22">
      <c r="A22" s="18" t="inlineStr">
        <is>
          <t>Luis Ramirez</t>
        </is>
      </c>
      <c r="B22" s="18" t="inlineStr">
        <is>
          <t>Helper/Pre-Apprentice</t>
        </is>
      </c>
      <c r="C22" s="30" t="inlineStr">
        <is>
          <t>Helper</t>
        </is>
      </c>
      <c r="D22" s="18" t="inlineStr">
        <is>
          <t>Walk-in</t>
        </is>
      </c>
      <c r="E22" s="31" t="n">
        <v>46120</v>
      </c>
      <c r="F22" s="18" t="inlineStr">
        <is>
          <t>(313) 555-1489</t>
        </is>
      </c>
      <c r="G22" s="18" t="n"/>
      <c r="H22" s="30" t="inlineStr">
        <is>
          <t>New</t>
        </is>
      </c>
      <c r="I22" s="31" t="n"/>
      <c r="J22" s="18" t="n"/>
      <c r="K22" s="32" t="n"/>
      <c r="L22" s="33" t="n"/>
      <c r="M22" s="33" t="n">
        <v>18</v>
      </c>
      <c r="N22" s="19">
        <f>IF(OR(L22="",L22=0,M22="",M22=0),"",(L22-M22)/M22)</f>
        <v/>
      </c>
      <c r="O22" s="31" t="n"/>
      <c r="P22" s="14">
        <f>IF(E22="","",INT(TODAY()-E22))</f>
        <v/>
      </c>
      <c r="Q22" s="18" t="inlineStr">
        <is>
          <t>Construction laborer background, wants to get into electrical</t>
        </is>
      </c>
    </row>
    <row r="23">
      <c r="A23" s="15" t="inlineStr">
        <is>
          <t>Jake Patterson</t>
        </is>
      </c>
      <c r="B23" s="15" t="inlineStr">
        <is>
          <t>Journeyman Wireman</t>
        </is>
      </c>
      <c r="C23" s="26" t="inlineStr">
        <is>
          <t>JW</t>
        </is>
      </c>
      <c r="D23" s="15" t="inlineStr">
        <is>
          <t>Social Media</t>
        </is>
      </c>
      <c r="E23" s="27" t="n">
        <v>46111</v>
      </c>
      <c r="F23" s="15" t="inlineStr">
        <is>
          <t>(586) 555-1590</t>
        </is>
      </c>
      <c r="G23" s="15" t="inlineStr">
        <is>
          <t>jpatt@email.com</t>
        </is>
      </c>
      <c r="H23" s="26" t="inlineStr">
        <is>
          <t>Withdrew</t>
        </is>
      </c>
      <c r="I23" s="27" t="n"/>
      <c r="J23" s="15" t="n"/>
      <c r="K23" s="28" t="n"/>
      <c r="L23" s="29" t="n"/>
      <c r="M23" s="29" t="n">
        <v>42</v>
      </c>
      <c r="N23" s="7">
        <f>IF(OR(L23="",L23=0,M23="",M23=0),"",(L23-M23)/M23)</f>
        <v/>
      </c>
      <c r="O23" s="27" t="n"/>
      <c r="P23" s="6">
        <f>IF(E23="","",INT(TODAY()-E23))</f>
        <v/>
      </c>
      <c r="Q23" s="15" t="inlineStr">
        <is>
          <t>Withdrew -- accepted position elsewhere before phone screen</t>
        </is>
      </c>
    </row>
    <row r="24">
      <c r="A24" s="18" t="inlineStr">
        <is>
          <t>Tommy Nguyen</t>
        </is>
      </c>
      <c r="B24" s="18" t="inlineStr">
        <is>
          <t>Journeyman Wireman</t>
        </is>
      </c>
      <c r="C24" s="30" t="inlineStr">
        <is>
          <t>JW</t>
        </is>
      </c>
      <c r="D24" s="18" t="inlineStr">
        <is>
          <t>Referral</t>
        </is>
      </c>
      <c r="E24" s="31" t="n">
        <v>46099</v>
      </c>
      <c r="F24" s="18" t="inlineStr">
        <is>
          <t>(734) 555-1678</t>
        </is>
      </c>
      <c r="G24" s="18" t="inlineStr">
        <is>
          <t>tnguyen@email.com</t>
        </is>
      </c>
      <c r="H24" s="30" t="inlineStr">
        <is>
          <t>Skills Test</t>
        </is>
      </c>
      <c r="I24" s="31" t="n">
        <v>46107</v>
      </c>
      <c r="J24" s="18" t="inlineStr">
        <is>
          <t>Mike Torres</t>
        </is>
      </c>
      <c r="K24" s="32" t="n">
        <v>78</v>
      </c>
      <c r="L24" s="33" t="n"/>
      <c r="M24" s="33" t="n">
        <v>42</v>
      </c>
      <c r="N24" s="19">
        <f>IF(OR(L24="",L24=0,M24="",M24=0),"",(L24-M24)/M24)</f>
        <v/>
      </c>
      <c r="O24" s="31" t="n"/>
      <c r="P24" s="14">
        <f>IF(E24="","",INT(TODAY()-E24))</f>
        <v/>
      </c>
      <c r="Q24" s="18" t="inlineStr">
        <is>
          <t>7 years experience. Good interview, scheduling ride-along.</t>
        </is>
      </c>
    </row>
    <row r="25">
      <c r="A25" s="34" t="inlineStr">
        <is>
          <t>TOTAL: 18 Candidates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</row>
  </sheetData>
  <autoFilter ref="A6:Q24"/>
  <mergeCells count="4">
    <mergeCell ref="A1:J1"/>
    <mergeCell ref="A4:J4"/>
    <mergeCell ref="A3:J3"/>
    <mergeCell ref="A2:J2"/>
  </mergeCells>
  <conditionalFormatting sqref="H7:H24">
    <cfRule type="expression" priority="1" dxfId="0">
      <formula>H7="New"</formula>
    </cfRule>
    <cfRule type="expression" priority="2" dxfId="1">
      <formula>H7="Screening"</formula>
    </cfRule>
    <cfRule type="expression" priority="3" dxfId="2">
      <formula>H7="Phone Screen"</formula>
    </cfRule>
    <cfRule type="expression" priority="4" dxfId="3">
      <formula>H7="Interview"</formula>
    </cfRule>
    <cfRule type="expression" priority="5" dxfId="4">
      <formula>H7="Skills Test"</formula>
    </cfRule>
    <cfRule type="expression" priority="6" dxfId="5">
      <formula>H7="Offer"</formula>
    </cfRule>
    <cfRule type="expression" priority="7" dxfId="6">
      <formula>H7="Hired"</formula>
    </cfRule>
    <cfRule type="expression" priority="8" dxfId="7">
      <formula>H7="Rejected"</formula>
    </cfRule>
    <cfRule type="expression" priority="9" dxfId="8">
      <formula>H7="Withdrew"</formula>
    </cfRule>
  </conditionalFormatting>
  <conditionalFormatting sqref="N7:N24">
    <cfRule type="cellIs" priority="10" operator="lessThan" dxfId="9">
      <formula>0</formula>
    </cfRule>
    <cfRule type="cellIs" priority="11" operator="equal" dxfId="10">
      <formula>0</formula>
    </cfRule>
    <cfRule type="cellIs" priority="12" operator="greaterThan" dxfId="11">
      <formula>0</formula>
    </cfRule>
  </conditionalFormatting>
  <conditionalFormatting sqref="P7:P24">
    <cfRule type="cellIs" priority="13" operator="greaterThan" dxfId="9">
      <formula>60</formula>
    </cfRule>
    <cfRule type="cellIs" priority="14" operator="between" dxfId="10">
      <formula>31</formula>
      <formula>60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P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6" customWidth="1" min="5" max="5"/>
    <col width="14" customWidth="1" min="6" max="6"/>
    <col width="12" customWidth="1" min="7" max="7"/>
    <col width="2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12" customWidth="1" min="14" max="14"/>
    <col width="10" customWidth="1" min="15" max="15"/>
    <col width="12" customWidth="1" min="16" max="16"/>
  </cols>
  <sheetData>
    <row r="1">
      <c r="A1" s="1" t="inlineStr">
        <is>
          <t>Douglas Electric</t>
        </is>
      </c>
    </row>
    <row r="2">
      <c r="A2" s="2" t="inlineStr">
        <is>
          <t>Recruiting Pipeline -- Open Positions</t>
        </is>
      </c>
    </row>
    <row r="3">
      <c r="A3" s="3" t="inlineStr">
        <is>
          <t>As of 2026-04-09</t>
        </is>
      </c>
    </row>
    <row r="4">
      <c r="A4" s="3" t="inlineStr">
        <is>
          <t>Prepared by 1404 Labs</t>
        </is>
      </c>
    </row>
    <row r="5" ht="6" customHeight="1"/>
    <row r="6" ht="32" customHeight="1">
      <c r="A6" s="8" t="inlineStr">
        <is>
          <t>Position ID</t>
        </is>
      </c>
      <c r="B6" s="8" t="inlineStr">
        <is>
          <t>Title</t>
        </is>
      </c>
      <c r="C6" s="8" t="inlineStr">
        <is>
          <t>Classification</t>
        </is>
      </c>
      <c r="D6" s="8" t="inlineStr">
        <is>
          <t>Department/Team</t>
        </is>
      </c>
      <c r="E6" s="8" t="inlineStr">
        <is>
          <t>Hiring Manager</t>
        </is>
      </c>
      <c r="F6" s="8" t="inlineStr">
        <is>
          <t>Date Opened</t>
        </is>
      </c>
      <c r="G6" s="8" t="inlineStr">
        <is>
          <t>Urgency</t>
        </is>
      </c>
      <c r="H6" s="8" t="inlineStr">
        <is>
          <t>Required Certs</t>
        </is>
      </c>
      <c r="I6" s="9" t="inlineStr">
        <is>
          <t>Min Yrs Exp</t>
        </is>
      </c>
      <c r="J6" s="9" t="inlineStr">
        <is>
          <t>Wage Low ($/hr)</t>
        </is>
      </c>
      <c r="K6" s="9" t="inlineStr">
        <is>
          <t>Wage High ($/hr)</t>
        </is>
      </c>
      <c r="L6" s="9" t="inlineStr">
        <is>
          <t>Market Rate ($/hr)</t>
        </is>
      </c>
      <c r="M6" s="9" t="inlineStr">
        <is>
          <t>Wage
Competitiveness</t>
        </is>
      </c>
      <c r="N6" s="9" t="inlineStr">
        <is>
          <t># Applicants</t>
        </is>
      </c>
      <c r="O6" s="9" t="inlineStr">
        <is>
          <t>Days Open</t>
        </is>
      </c>
      <c r="P6" s="8" t="inlineStr">
        <is>
          <t>Status</t>
        </is>
      </c>
    </row>
    <row r="7">
      <c r="A7" s="15" t="inlineStr">
        <is>
          <t>POS-001</t>
        </is>
      </c>
      <c r="B7" s="15" t="inlineStr">
        <is>
          <t>Journeyman Wireman</t>
        </is>
      </c>
      <c r="C7" s="26" t="inlineStr">
        <is>
          <t>JW</t>
        </is>
      </c>
      <c r="D7" s="15" t="inlineStr">
        <is>
          <t>Commercial</t>
        </is>
      </c>
      <c r="E7" s="15" t="inlineStr">
        <is>
          <t>Mike Torres</t>
        </is>
      </c>
      <c r="F7" s="27" t="n">
        <v>46068</v>
      </c>
      <c r="G7" s="26" t="inlineStr">
        <is>
          <t>Critical</t>
        </is>
      </c>
      <c r="H7" s="15" t="inlineStr">
        <is>
          <t>State Journeyman License, OSHA 30, NFPA 70E</t>
        </is>
      </c>
      <c r="I7" s="36" t="n">
        <v>4</v>
      </c>
      <c r="J7" s="29" t="n">
        <v>38</v>
      </c>
      <c r="K7" s="29" t="n">
        <v>45</v>
      </c>
      <c r="L7" s="29" t="n">
        <v>42</v>
      </c>
      <c r="M7" s="11">
        <f>IF(OR(L7=0,L7=""),"N/A",IF(K7&lt;L7,"Below Market",IF(J7&gt;L7,"Above Market","Competitive")))</f>
        <v/>
      </c>
      <c r="N7" s="6">
        <f>COUNTIF('All Candidates'!B7:B24,B7)</f>
        <v/>
      </c>
      <c r="O7" s="6">
        <f>IF(F7="","",INT(TODAY()-F7))</f>
        <v/>
      </c>
      <c r="P7" s="26" t="inlineStr">
        <is>
          <t>Open</t>
        </is>
      </c>
    </row>
    <row r="8">
      <c r="A8" s="18" t="inlineStr">
        <is>
          <t>POS-002</t>
        </is>
      </c>
      <c r="B8" s="18" t="inlineStr">
        <is>
          <t>Journeyman Wireman</t>
        </is>
      </c>
      <c r="C8" s="30" t="inlineStr">
        <is>
          <t>JW</t>
        </is>
      </c>
      <c r="D8" s="18" t="inlineStr">
        <is>
          <t>Commercial</t>
        </is>
      </c>
      <c r="E8" s="18" t="inlineStr">
        <is>
          <t>Mike Torres</t>
        </is>
      </c>
      <c r="F8" s="31" t="n">
        <v>46082</v>
      </c>
      <c r="G8" s="30" t="inlineStr">
        <is>
          <t>Critical</t>
        </is>
      </c>
      <c r="H8" s="18" t="inlineStr">
        <is>
          <t>State Journeyman License, OSHA 10</t>
        </is>
      </c>
      <c r="I8" s="37" t="n">
        <v>4</v>
      </c>
      <c r="J8" s="33" t="n">
        <v>38</v>
      </c>
      <c r="K8" s="33" t="n">
        <v>45</v>
      </c>
      <c r="L8" s="33" t="n">
        <v>42</v>
      </c>
      <c r="M8" s="13">
        <f>IF(OR(L8=0,L8=""),"N/A",IF(K8&lt;L8,"Below Market",IF(J8&gt;L8,"Above Market","Competitive")))</f>
        <v/>
      </c>
      <c r="N8" s="14">
        <f>COUNTIF('All Candidates'!B7:B24,B8)</f>
        <v/>
      </c>
      <c r="O8" s="14">
        <f>IF(F8="","",INT(TODAY()-F8))</f>
        <v/>
      </c>
      <c r="P8" s="30" t="inlineStr">
        <is>
          <t>Open</t>
        </is>
      </c>
    </row>
    <row r="9">
      <c r="A9" s="15" t="inlineStr">
        <is>
          <t>POS-003</t>
        </is>
      </c>
      <c r="B9" s="15" t="inlineStr">
        <is>
          <t>3rd Year Apprentice</t>
        </is>
      </c>
      <c r="C9" s="26" t="inlineStr">
        <is>
          <t>Apprentice</t>
        </is>
      </c>
      <c r="D9" s="15" t="inlineStr">
        <is>
          <t>Commercial</t>
        </is>
      </c>
      <c r="E9" s="15" t="inlineStr">
        <is>
          <t>Mike Torres</t>
        </is>
      </c>
      <c r="F9" s="27" t="n">
        <v>46091</v>
      </c>
      <c r="G9" s="26" t="inlineStr">
        <is>
          <t>High</t>
        </is>
      </c>
      <c r="H9" s="15" t="inlineStr">
        <is>
          <t>OSHA 10</t>
        </is>
      </c>
      <c r="I9" s="36" t="n">
        <v>2</v>
      </c>
      <c r="J9" s="29" t="n">
        <v>22</v>
      </c>
      <c r="K9" s="29" t="n">
        <v>26</v>
      </c>
      <c r="L9" s="29" t="n">
        <v>24</v>
      </c>
      <c r="M9" s="11">
        <f>IF(OR(L9=0,L9=""),"N/A",IF(K9&lt;L9,"Below Market",IF(J9&gt;L9,"Above Market","Competitive")))</f>
        <v/>
      </c>
      <c r="N9" s="6">
        <f>COUNTIF('All Candidates'!B7:B24,B9)</f>
        <v/>
      </c>
      <c r="O9" s="6">
        <f>IF(F9="","",INT(TODAY()-F9))</f>
        <v/>
      </c>
      <c r="P9" s="26" t="inlineStr">
        <is>
          <t>Open</t>
        </is>
      </c>
    </row>
    <row r="10">
      <c r="A10" s="18" t="inlineStr">
        <is>
          <t>POS-004</t>
        </is>
      </c>
      <c r="B10" s="18" t="inlineStr">
        <is>
          <t>Foreman</t>
        </is>
      </c>
      <c r="C10" s="30" t="inlineStr">
        <is>
          <t>Foreman</t>
        </is>
      </c>
      <c r="D10" s="18" t="inlineStr">
        <is>
          <t>Industrial</t>
        </is>
      </c>
      <c r="E10" s="18" t="inlineStr">
        <is>
          <t>Dave Kowalski</t>
        </is>
      </c>
      <c r="F10" s="31" t="n">
        <v>46042</v>
      </c>
      <c r="G10" s="30" t="inlineStr">
        <is>
          <t>Critical</t>
        </is>
      </c>
      <c r="H10" s="18" t="inlineStr">
        <is>
          <t>State Journeyman License, OSHA 30, NFPA 70E, First Aid/CPR</t>
        </is>
      </c>
      <c r="I10" s="37" t="n">
        <v>8</v>
      </c>
      <c r="J10" s="33" t="n">
        <v>48</v>
      </c>
      <c r="K10" s="33" t="n">
        <v>55</v>
      </c>
      <c r="L10" s="33" t="n">
        <v>52</v>
      </c>
      <c r="M10" s="13">
        <f>IF(OR(L10=0,L10=""),"N/A",IF(K10&lt;L10,"Below Market",IF(J10&gt;L10,"Above Market","Competitive")))</f>
        <v/>
      </c>
      <c r="N10" s="14">
        <f>COUNTIF('All Candidates'!B7:B24,B10)</f>
        <v/>
      </c>
      <c r="O10" s="14">
        <f>IF(F10="","",INT(TODAY()-F10))</f>
        <v/>
      </c>
      <c r="P10" s="30" t="inlineStr">
        <is>
          <t>Open</t>
        </is>
      </c>
    </row>
    <row r="11">
      <c r="A11" s="15" t="inlineStr">
        <is>
          <t>POS-005</t>
        </is>
      </c>
      <c r="B11" s="15" t="inlineStr">
        <is>
          <t>Fire Alarm Tech</t>
        </is>
      </c>
      <c r="C11" s="26" t="inlineStr">
        <is>
          <t>Fire Alarm Tech</t>
        </is>
      </c>
      <c r="D11" s="15" t="inlineStr">
        <is>
          <t>Service</t>
        </is>
      </c>
      <c r="E11" s="15" t="inlineStr">
        <is>
          <t>Lisa Chen</t>
        </is>
      </c>
      <c r="F11" s="27" t="n">
        <v>46101</v>
      </c>
      <c r="G11" s="26" t="inlineStr">
        <is>
          <t>Medium</t>
        </is>
      </c>
      <c r="H11" s="15" t="inlineStr">
        <is>
          <t>OSHA 10, NICET Level II</t>
        </is>
      </c>
      <c r="I11" s="36" t="n">
        <v>3</v>
      </c>
      <c r="J11" s="29" t="n">
        <v>35</v>
      </c>
      <c r="K11" s="29" t="n">
        <v>42</v>
      </c>
      <c r="L11" s="29" t="n">
        <v>38</v>
      </c>
      <c r="M11" s="11">
        <f>IF(OR(L11=0,L11=""),"N/A",IF(K11&lt;L11,"Below Market",IF(J11&gt;L11,"Above Market","Competitive")))</f>
        <v/>
      </c>
      <c r="N11" s="6">
        <f>COUNTIF('All Candidates'!B7:B24,B11)</f>
        <v/>
      </c>
      <c r="O11" s="6">
        <f>IF(F11="","",INT(TODAY()-F11))</f>
        <v/>
      </c>
      <c r="P11" s="26" t="inlineStr">
        <is>
          <t>Open</t>
        </is>
      </c>
    </row>
    <row r="12">
      <c r="A12" s="18" t="inlineStr">
        <is>
          <t>POS-006</t>
        </is>
      </c>
      <c r="B12" s="18" t="inlineStr">
        <is>
          <t>Helper/Pre-Apprentice</t>
        </is>
      </c>
      <c r="C12" s="30" t="inlineStr">
        <is>
          <t>Helper</t>
        </is>
      </c>
      <c r="D12" s="18" t="n"/>
      <c r="E12" s="18" t="inlineStr">
        <is>
          <t>Mike Torres</t>
        </is>
      </c>
      <c r="F12" s="31" t="n">
        <v>46113</v>
      </c>
      <c r="G12" s="30" t="inlineStr">
        <is>
          <t>Low</t>
        </is>
      </c>
      <c r="H12" s="18" t="n"/>
      <c r="I12" s="37" t="n">
        <v>0</v>
      </c>
      <c r="J12" s="33" t="n">
        <v>18</v>
      </c>
      <c r="K12" s="33" t="n">
        <v>20</v>
      </c>
      <c r="L12" s="33" t="n">
        <v>18</v>
      </c>
      <c r="M12" s="13">
        <f>IF(OR(L12=0,L12=""),"N/A",IF(K12&lt;L12,"Below Market",IF(J12&gt;L12,"Above Market","Competitive")))</f>
        <v/>
      </c>
      <c r="N12" s="14">
        <f>COUNTIF('All Candidates'!B7:B24,B12)</f>
        <v/>
      </c>
      <c r="O12" s="14">
        <f>IF(F12="","",INT(TODAY()-F12))</f>
        <v/>
      </c>
      <c r="P12" s="30" t="inlineStr">
        <is>
          <t>Open</t>
        </is>
      </c>
    </row>
    <row r="13">
      <c r="A13" s="34" t="inlineStr">
        <is>
          <t>TOTAL: 6 Positions</t>
        </is>
      </c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23">
        <f>SUM(N7:N12)</f>
        <v/>
      </c>
      <c r="O13" s="35" t="n"/>
      <c r="P13" s="35" t="n"/>
    </row>
  </sheetData>
  <autoFilter ref="A6:P12"/>
  <mergeCells count="4">
    <mergeCell ref="A1:J1"/>
    <mergeCell ref="A4:J4"/>
    <mergeCell ref="A3:J3"/>
    <mergeCell ref="A2:J2"/>
  </mergeCells>
  <conditionalFormatting sqref="G7:G12">
    <cfRule type="expression" priority="1" dxfId="7">
      <formula>G7="Critical"</formula>
    </cfRule>
    <cfRule type="expression" priority="2" dxfId="5">
      <formula>G7="High"</formula>
    </cfRule>
    <cfRule type="expression" priority="3" dxfId="3">
      <formula>G7="Medium"</formula>
    </cfRule>
    <cfRule type="expression" priority="4" dxfId="0">
      <formula>G7="Low"</formula>
    </cfRule>
  </conditionalFormatting>
  <conditionalFormatting sqref="P7:P12">
    <cfRule type="expression" priority="5" dxfId="3">
      <formula>P7="Open"</formula>
    </cfRule>
    <cfRule type="expression" priority="6" dxfId="6">
      <formula>P7="Filled"</formula>
    </cfRule>
    <cfRule type="expression" priority="7" dxfId="5">
      <formula>P7="On Hold"</formula>
    </cfRule>
    <cfRule type="expression" priority="8" dxfId="0">
      <formula>P7="Cancelled"</formula>
    </cfRule>
  </conditionalFormatting>
  <conditionalFormatting sqref="M7:M12">
    <cfRule type="cellIs" priority="9" operator="equal" dxfId="7">
      <formula>"Below Market"</formula>
    </cfRule>
    <cfRule type="cellIs" priority="10" operator="equal" dxfId="6">
      <formula>"Competitive"</formula>
    </cfRule>
    <cfRule type="cellIs" priority="11" operator="equal" dxfId="3">
      <formula>"Above Market"</formula>
    </cfRule>
  </conditionalFormatting>
  <conditionalFormatting sqref="O7:O12">
    <cfRule type="cellIs" priority="12" operator="greaterThan" dxfId="9">
      <formula>60</formula>
    </cfRule>
    <cfRule type="cellIs" priority="13" operator="between" dxfId="10">
      <formula>31</formula>
      <formula>60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Recruiting Pipeline</dc:title>
  <dcterms:created xmlns:dcterms="http://purl.org/dc/terms/" xmlns:xsi="http://www.w3.org/2001/XMLSchema-instance" xsi:type="dcterms:W3CDTF">2026-04-12T19:10:04Z</dcterms:created>
  <dcterms:modified xmlns:dcterms="http://purl.org/dc/terms/" xmlns:xsi="http://www.w3.org/2001/XMLSchema-instance" xsi:type="dcterms:W3CDTF">2026-04-12T19:10:04Z</dcterms:modified>
</cp:coreProperties>
</file>