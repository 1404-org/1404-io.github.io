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Aging Detail" sheetId="1" state="visible" r:id="rId1"/>
    <sheet xmlns:r="http://schemas.openxmlformats.org/officeDocument/2006/relationships" name="Summary &amp; Analytics" sheetId="2" state="visible" r:id="rId2"/>
    <sheet xmlns:r="http://schemas.openxmlformats.org/officeDocument/2006/relationships" name="Collection Actions" sheetId="3" state="visible" r:id="rId3"/>
  </sheets>
  <definedNames>
    <definedName name="TotalAR">'AR Aging Detail'!$G$14</definedName>
    <definedName name="TotalRetainage">'AR Aging Detail'!$H$14</definedName>
    <definedName name="GrandTotalAR">'AR Aging Detail'!$I$14</definedName>
    <definedName name="WeightedDSO">'AR Aging Detail'!$K$14</definedName>
    <definedName name="_xlnm._FilterDatabase" localSheetId="0" hidden="1">'AR Aging Detail'!$A$6:$R$13</definedName>
    <definedName name="_xlnm.Print_Titles" localSheetId="0">'AR Aging Detail'!$1:$6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"/>
    <numFmt numFmtId="165" formatCode="#,##0&quot; days&quot;"/>
    <numFmt numFmtId="166" formatCode="0.0&quot; days&quot;"/>
    <numFmt numFmtId="167" formatCode="0.0%"/>
    <numFmt numFmtId="168" formatCode="MM/DD/YYYY"/>
    <numFmt numFmtId="169" formatCode="$#,##0;($#,##0);&quot;-&quot;"/>
  </numFmts>
  <fonts count="11">
    <font>
      <name val="Calibri"/>
      <family val="2"/>
      <color theme="1"/>
      <sz val="11"/>
      <scheme val="minor"/>
    </font>
    <font>
      <name val="Inter"/>
      <b val="1"/>
      <color rgb="00111010"/>
      <sz val="14"/>
    </font>
    <font>
      <name val="Inter"/>
      <b val="1"/>
      <color rgb="00111010"/>
      <sz val="12"/>
    </font>
    <font>
      <name val="Inter"/>
      <color rgb="009a948c"/>
      <sz val="10"/>
    </font>
    <font>
      <name val="Inter"/>
      <b val="1"/>
      <color rgb="00FFFFFF"/>
      <sz val="9"/>
    </font>
    <font>
      <name val="Inter"/>
      <color rgb="00111010"/>
      <sz val="10"/>
    </font>
    <font>
      <name val="Inter"/>
      <color rgb="000000FF"/>
      <sz val="10"/>
    </font>
    <font>
      <name val="Inter"/>
      <color rgb="00000000"/>
      <sz val="10"/>
    </font>
    <font>
      <name val="Inter"/>
      <b val="1"/>
      <color rgb="00000000"/>
      <sz val="10"/>
    </font>
    <font>
      <name val="Inter"/>
      <b val="1"/>
      <color rgb="00111010"/>
      <sz val="11"/>
    </font>
    <font>
      <name val="Inter"/>
      <b val="1"/>
      <color rgb="00111010"/>
      <sz val="10"/>
    </font>
  </fonts>
  <fills count="4">
    <fill>
      <patternFill/>
    </fill>
    <fill>
      <patternFill patternType="gray125"/>
    </fill>
    <fill>
      <patternFill patternType="solid">
        <fgColor rgb="00111010"/>
        <bgColor rgb="00111010"/>
      </patternFill>
    </fill>
    <fill>
      <patternFill patternType="solid">
        <fgColor rgb="00F9FAFB"/>
        <bgColor rgb="00F9FAFB"/>
      </patternFill>
    </fill>
  </fills>
  <borders count="4">
    <border>
      <left/>
      <right/>
      <top/>
      <bottom/>
      <diagonal/>
    </border>
    <border>
      <bottom style="medium">
        <color rgb="00111010"/>
      </bottom>
    </border>
    <border>
      <bottom style="hair">
        <color rgb="00D9D9D9"/>
      </bottom>
    </border>
    <border>
      <top style="double">
        <color rgb="00000000"/>
      </top>
      <bottom style="thin">
        <color rgb="00000000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 wrapText="1"/>
    </xf>
    <xf numFmtId="0" fontId="5" fillId="0" borderId="2" applyAlignment="1" pivotButton="0" quotePrefix="0" xfId="0">
      <alignment horizontal="left" vertical="center" wrapText="1"/>
    </xf>
    <xf numFmtId="164" fontId="6" fillId="0" borderId="2" applyAlignment="1" pivotButton="0" quotePrefix="0" xfId="0">
      <alignment horizontal="right" vertical="center" wrapText="1"/>
    </xf>
    <xf numFmtId="164" fontId="7" fillId="0" borderId="2" applyAlignment="1" pivotButton="0" quotePrefix="0" xfId="0">
      <alignment horizontal="right" vertical="center" wrapText="1"/>
    </xf>
    <xf numFmtId="165" fontId="6" fillId="0" borderId="2" applyAlignment="1" pivotButton="0" quotePrefix="0" xfId="0">
      <alignment horizontal="right" vertical="center" wrapText="1"/>
    </xf>
    <xf numFmtId="166" fontId="6" fillId="0" borderId="2" applyAlignment="1" pivotButton="0" quotePrefix="0" xfId="0">
      <alignment horizontal="right" vertical="center" wrapText="1"/>
    </xf>
    <xf numFmtId="166" fontId="7" fillId="0" borderId="2" applyAlignment="1" pivotButton="0" quotePrefix="0" xfId="0">
      <alignment horizontal="right" vertical="center" wrapText="1"/>
    </xf>
    <xf numFmtId="167" fontId="7" fillId="0" borderId="2" applyAlignment="1" pivotButton="0" quotePrefix="0" xfId="0">
      <alignment horizontal="right" vertical="center" wrapText="1"/>
    </xf>
    <xf numFmtId="168" fontId="6" fillId="0" borderId="2" applyAlignment="1" pivotButton="0" quotePrefix="0" xfId="0">
      <alignment horizontal="right" vertical="center" wrapText="1"/>
    </xf>
    <xf numFmtId="3" fontId="7" fillId="0" borderId="2" applyAlignment="1" pivotButton="0" quotePrefix="0" xfId="0">
      <alignment horizontal="right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164" fontId="6" fillId="3" borderId="2" applyAlignment="1" pivotButton="0" quotePrefix="0" xfId="0">
      <alignment horizontal="right" vertical="center" wrapText="1"/>
    </xf>
    <xf numFmtId="164" fontId="7" fillId="3" borderId="2" applyAlignment="1" pivotButton="0" quotePrefix="0" xfId="0">
      <alignment horizontal="right" vertical="center" wrapText="1"/>
    </xf>
    <xf numFmtId="165" fontId="6" fillId="3" borderId="2" applyAlignment="1" pivotButton="0" quotePrefix="0" xfId="0">
      <alignment horizontal="right" vertical="center" wrapText="1"/>
    </xf>
    <xf numFmtId="166" fontId="6" fillId="3" borderId="2" applyAlignment="1" pivotButton="0" quotePrefix="0" xfId="0">
      <alignment horizontal="right" vertical="center" wrapText="1"/>
    </xf>
    <xf numFmtId="166" fontId="7" fillId="3" borderId="2" applyAlignment="1" pivotButton="0" quotePrefix="0" xfId="0">
      <alignment horizontal="right" vertical="center" wrapText="1"/>
    </xf>
    <xf numFmtId="167" fontId="7" fillId="3" borderId="2" applyAlignment="1" pivotButton="0" quotePrefix="0" xfId="0">
      <alignment horizontal="right" vertical="center" wrapText="1"/>
    </xf>
    <xf numFmtId="168" fontId="6" fillId="3" borderId="2" applyAlignment="1" pivotButton="0" quotePrefix="0" xfId="0">
      <alignment horizontal="right" vertical="center" wrapText="1"/>
    </xf>
    <xf numFmtId="3" fontId="7" fillId="3" borderId="2" applyAlignment="1" pivotButton="0" quotePrefix="0" xfId="0">
      <alignment horizontal="right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8" fillId="0" borderId="3" pivotButton="0" quotePrefix="0" xfId="0"/>
    <xf numFmtId="164" fontId="8" fillId="0" borderId="3" applyAlignment="1" pivotButton="0" quotePrefix="0" xfId="0">
      <alignment horizontal="right" vertical="center" wrapText="1"/>
    </xf>
    <xf numFmtId="0" fontId="0" fillId="0" borderId="3" pivotButton="0" quotePrefix="0" xfId="0"/>
    <xf numFmtId="166" fontId="8" fillId="0" borderId="3" applyAlignment="1" pivotButton="0" quotePrefix="0" xfId="0">
      <alignment horizontal="right" vertical="center" wrapText="1"/>
    </xf>
    <xf numFmtId="0" fontId="9" fillId="0" borderId="0" pivotButton="0" quotePrefix="0" xfId="0"/>
    <xf numFmtId="0" fontId="10" fillId="0" borderId="2" applyAlignment="1" pivotButton="0" quotePrefix="0" xfId="0">
      <alignment horizontal="left" vertical="center" wrapText="1"/>
    </xf>
    <xf numFmtId="49" fontId="7" fillId="0" borderId="2" applyAlignment="1" pivotButton="0" quotePrefix="0" xfId="0">
      <alignment horizontal="right" vertical="center" wrapText="1"/>
    </xf>
    <xf numFmtId="169" fontId="7" fillId="0" borderId="2" applyAlignment="1" pivotButton="0" quotePrefix="0" xfId="0">
      <alignment horizontal="right" vertical="center" wrapText="1"/>
    </xf>
    <xf numFmtId="167" fontId="6" fillId="0" borderId="2" applyAlignment="1" pivotButton="0" quotePrefix="0" xfId="0">
      <alignment horizontal="right" vertical="center" wrapText="1"/>
    </xf>
    <xf numFmtId="167" fontId="6" fillId="3" borderId="2" applyAlignment="1" pivotButton="0" quotePrefix="0" xfId="0">
      <alignment horizontal="right" vertical="center" wrapText="1"/>
    </xf>
    <xf numFmtId="3" fontId="7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168" fontId="5" fillId="0" borderId="2" applyAlignment="1" pivotButton="0" quotePrefix="0" xfId="0">
      <alignment horizontal="right" vertical="center" wrapText="1"/>
    </xf>
    <xf numFmtId="3" fontId="7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168" fontId="5" fillId="3" borderId="2" applyAlignment="1" pivotButton="0" quotePrefix="0" xfId="0">
      <alignment horizontal="right" vertical="center" wrapText="1"/>
    </xf>
  </cellXfs>
  <cellStyles count="1">
    <cellStyle name="Normal" xfId="0" builtinId="0" hidden="0"/>
  </cellStyles>
  <dxfs count="4">
    <dxf>
      <font>
        <color rgb="00721C24"/>
      </font>
      <fill>
        <patternFill patternType="solid">
          <fgColor rgb="00F8D7DA"/>
          <bgColor rgb="00F8D7DA"/>
        </patternFill>
      </fill>
    </dxf>
    <dxf>
      <font>
        <color rgb="00856404"/>
      </font>
      <fill>
        <patternFill patternType="solid">
          <fgColor rgb="00FFF3CD"/>
          <bgColor rgb="00FFF3CD"/>
        </patternFill>
      </fill>
    </dxf>
    <dxf>
      <font>
        <b val="1"/>
        <color rgb="00721C24"/>
      </font>
      <fill>
        <patternFill patternType="solid">
          <fgColor rgb="00F8D7DA"/>
          <bgColor rgb="00F8D7DA"/>
        </patternFill>
      </fill>
    </dxf>
    <dxf>
      <font>
        <color rgb="00DC2626"/>
      </font>
      <fill>
        <patternFill patternType="solid">
          <fgColor rgb="00FEE2E2"/>
          <b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R14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2" customWidth="1" min="15" max="15"/>
    <col width="10" customWidth="1" min="16" max="16"/>
    <col width="35" customWidth="1" min="17" max="17"/>
    <col width="10" customWidth="1" min="18" max="18"/>
  </cols>
  <sheetData>
    <row r="1">
      <c r="A1" s="1" t="inlineStr">
        <is>
          <t>Acme Construction LLC</t>
        </is>
      </c>
    </row>
    <row r="2">
      <c r="A2" s="2" t="inlineStr">
        <is>
          <t>Accounts Receivable Aging Report</t>
        </is>
      </c>
    </row>
    <row r="3">
      <c r="A3" s="3" t="inlineStr">
        <is>
          <t>As of March 31, 2026</t>
        </is>
      </c>
    </row>
    <row r="4">
      <c r="A4" s="3" t="inlineStr">
        <is>
          <t>Prepared by 1404 Labs</t>
        </is>
      </c>
    </row>
    <row r="5" ht="6" customHeight="1"/>
    <row r="6" ht="36" customHeight="1">
      <c r="A6" s="4" t="inlineStr">
        <is>
          <t>Customer Name</t>
        </is>
      </c>
      <c r="B6" s="5" t="inlineStr">
        <is>
          <t>Current
(0-30 Days)</t>
        </is>
      </c>
      <c r="C6" s="5" t="inlineStr">
        <is>
          <t>31-60
Days</t>
        </is>
      </c>
      <c r="D6" s="5" t="inlineStr">
        <is>
          <t>61-90
Days</t>
        </is>
      </c>
      <c r="E6" s="5" t="inlineStr">
        <is>
          <t>91-120
Days</t>
        </is>
      </c>
      <c r="F6" s="5" t="inlineStr">
        <is>
          <t>120+
Days</t>
        </is>
      </c>
      <c r="G6" s="5" t="inlineStr">
        <is>
          <t>Total AR
(excl. Ret.)</t>
        </is>
      </c>
      <c r="H6" s="5" t="inlineStr">
        <is>
          <t>Retainage
Receivable</t>
        </is>
      </c>
      <c r="I6" s="5" t="inlineStr">
        <is>
          <t>Total Incl.
Retainage</t>
        </is>
      </c>
      <c r="J6" s="5" t="inlineStr">
        <is>
          <t>Contractual
Terms</t>
        </is>
      </c>
      <c r="K6" s="5" t="inlineStr">
        <is>
          <t>Actual DSO
(Wtd Avg)</t>
        </is>
      </c>
      <c r="L6" s="5" t="inlineStr">
        <is>
          <t>DSO
Variance</t>
        </is>
      </c>
      <c r="M6" s="5" t="inlineStr">
        <is>
          <t>Concentration
%</t>
        </is>
      </c>
      <c r="N6" s="4" t="inlineStr">
        <is>
          <t>Last Payment
Date</t>
        </is>
      </c>
      <c r="O6" s="5" t="inlineStr">
        <is>
          <t>Last Payment
Amount</t>
        </is>
      </c>
      <c r="P6" s="5" t="inlineStr">
        <is>
          <t>Days Since
Last Pymt</t>
        </is>
      </c>
      <c r="Q6" s="4" t="inlineStr">
        <is>
          <t>Collection Notes</t>
        </is>
      </c>
      <c r="R6" s="4" t="inlineStr">
        <is>
          <t>Risk
Flag</t>
        </is>
      </c>
    </row>
    <row r="7">
      <c r="A7" s="6" t="inlineStr">
        <is>
          <t>Metro Development Group</t>
        </is>
      </c>
      <c r="B7" s="7" t="n">
        <v>210000</v>
      </c>
      <c r="C7" s="7" t="n">
        <v>145000</v>
      </c>
      <c r="D7" s="7" t="n">
        <v>110000</v>
      </c>
      <c r="E7" s="7" t="n">
        <v>85000</v>
      </c>
      <c r="F7" s="7" t="n">
        <v>62000</v>
      </c>
      <c r="G7" s="8">
        <f>SUM(B7:F7)</f>
        <v/>
      </c>
      <c r="H7" s="7" t="n">
        <v>70500</v>
      </c>
      <c r="I7" s="8">
        <f>G7+H7</f>
        <v/>
      </c>
      <c r="J7" s="9" t="n">
        <v>45</v>
      </c>
      <c r="K7" s="10" t="n">
        <v>94.3</v>
      </c>
      <c r="L7" s="11">
        <f>K7-J7</f>
        <v/>
      </c>
      <c r="M7" s="12">
        <f>IF(I$14=0,0,I7/I$14)</f>
        <v/>
      </c>
      <c r="N7" s="13" t="inlineStr">
        <is>
          <t>01/10/2026</t>
        </is>
      </c>
      <c r="O7" s="7" t="n">
        <v>50000</v>
      </c>
      <c r="P7" s="14">
        <f>IF(N7="","",TODAY()-N7)</f>
        <v/>
      </c>
      <c r="Q7" s="15" t="inlineStr">
        <is>
          <t>CRITICAL: 120+ balance growing. Owner meeting scheduled 4/5. Withholding final retainage release until current.</t>
        </is>
      </c>
      <c r="R7" s="16">
        <f>IF(F7&gt;0,"CRITICAL",IF(E7&gt;0,"HIGH",IF(D7&gt;0,"MEDIUM","")))</f>
        <v/>
      </c>
    </row>
    <row r="8">
      <c r="A8" s="17" t="inlineStr">
        <is>
          <t>Westfield School District</t>
        </is>
      </c>
      <c r="B8" s="18" t="n">
        <v>185000</v>
      </c>
      <c r="C8" s="18" t="n">
        <v>92000</v>
      </c>
      <c r="D8" s="18" t="n">
        <v>0</v>
      </c>
      <c r="E8" s="18" t="n">
        <v>0</v>
      </c>
      <c r="F8" s="18" t="n">
        <v>0</v>
      </c>
      <c r="G8" s="19">
        <f>SUM(B8:F8)</f>
        <v/>
      </c>
      <c r="H8" s="18" t="n">
        <v>94500</v>
      </c>
      <c r="I8" s="19">
        <f>G8+H8</f>
        <v/>
      </c>
      <c r="J8" s="20" t="n">
        <v>30</v>
      </c>
      <c r="K8" s="21" t="n">
        <v>38.2</v>
      </c>
      <c r="L8" s="22">
        <f>K8-J8</f>
        <v/>
      </c>
      <c r="M8" s="23">
        <f>IF(I$14=0,0,I8/I$14)</f>
        <v/>
      </c>
      <c r="N8" s="24" t="inlineStr">
        <is>
          <t>03/15/2026</t>
        </is>
      </c>
      <c r="O8" s="18" t="n">
        <v>210000</v>
      </c>
      <c r="P8" s="25">
        <f>IF(N8="","",TODAY()-N8)</f>
        <v/>
      </c>
      <c r="Q8" s="26" t="inlineStr">
        <is>
          <t>Reliable payer. Processing through district AP. No concerns.</t>
        </is>
      </c>
      <c r="R8" s="27">
        <f>IF(F8&gt;0,"CRITICAL",IF(E8&gt;0,"HIGH",IF(D8&gt;0,"MEDIUM","")))</f>
        <v/>
      </c>
    </row>
    <row r="9">
      <c r="A9" s="6" t="inlineStr">
        <is>
          <t>Greenfield Logistics Inc</t>
        </is>
      </c>
      <c r="B9" s="7" t="n">
        <v>310000</v>
      </c>
      <c r="C9" s="7" t="n">
        <v>0</v>
      </c>
      <c r="D9" s="7" t="n">
        <v>0</v>
      </c>
      <c r="E9" s="7" t="n">
        <v>0</v>
      </c>
      <c r="F9" s="7" t="n">
        <v>0</v>
      </c>
      <c r="G9" s="8">
        <f>SUM(B9:F9)</f>
        <v/>
      </c>
      <c r="H9" s="7" t="n">
        <v>31000</v>
      </c>
      <c r="I9" s="8">
        <f>G9+H9</f>
        <v/>
      </c>
      <c r="J9" s="9" t="n">
        <v>60</v>
      </c>
      <c r="K9" s="10" t="n">
        <v>55.2</v>
      </c>
      <c r="L9" s="11">
        <f>K9-J9</f>
        <v/>
      </c>
      <c r="M9" s="12">
        <f>IF(I$14=0,0,I9/I$14)</f>
        <v/>
      </c>
      <c r="N9" s="13" t="inlineStr">
        <is>
          <t>03/18/2026</t>
        </is>
      </c>
      <c r="O9" s="7" t="n">
        <v>310000</v>
      </c>
      <c r="P9" s="14">
        <f>IF(N9="","",TODAY()-N9)</f>
        <v/>
      </c>
      <c r="Q9" s="15" t="inlineStr">
        <is>
          <t>New client, first project. NET 60 terms. Paying on schedule.</t>
        </is>
      </c>
      <c r="R9" s="16">
        <f>IF(F9&gt;0,"CRITICAL",IF(E9&gt;0,"HIGH",IF(D9&gt;0,"MEDIUM","")))</f>
        <v/>
      </c>
    </row>
    <row r="10">
      <c r="A10" s="17" t="inlineStr">
        <is>
          <t>Riverside Health Partners</t>
        </is>
      </c>
      <c r="B10" s="18" t="n">
        <v>125000</v>
      </c>
      <c r="C10" s="18" t="n">
        <v>68000</v>
      </c>
      <c r="D10" s="18" t="n">
        <v>45000</v>
      </c>
      <c r="E10" s="18" t="n">
        <v>0</v>
      </c>
      <c r="F10" s="18" t="n">
        <v>0</v>
      </c>
      <c r="G10" s="19">
        <f>SUM(B10:F10)</f>
        <v/>
      </c>
      <c r="H10" s="18" t="n">
        <v>79000</v>
      </c>
      <c r="I10" s="19">
        <f>G10+H10</f>
        <v/>
      </c>
      <c r="J10" s="20" t="n">
        <v>30</v>
      </c>
      <c r="K10" s="21" t="n">
        <v>52.7</v>
      </c>
      <c r="L10" s="22">
        <f>K10-J10</f>
        <v/>
      </c>
      <c r="M10" s="23">
        <f>IF(I$14=0,0,I10/I$14)</f>
        <v/>
      </c>
      <c r="N10" s="24" t="inlineStr">
        <is>
          <t>02/28/2026</t>
        </is>
      </c>
      <c r="O10" s="18" t="n">
        <v>95000</v>
      </c>
      <c r="P10" s="25">
        <f>IF(N10="","",TODAY()-N10)</f>
        <v/>
      </c>
      <c r="Q10" s="26" t="inlineStr">
        <is>
          <t>61-90 bucket is disputed CO #3 ($45K). PM escalated to owner 3/20.</t>
        </is>
      </c>
      <c r="R10" s="27">
        <f>IF(F10&gt;0,"CRITICAL",IF(E10&gt;0,"HIGH",IF(D10&gt;0,"MEDIUM","")))</f>
        <v/>
      </c>
    </row>
    <row r="11">
      <c r="A11" s="6" t="inlineStr">
        <is>
          <t>Summit Brewing Co</t>
        </is>
      </c>
      <c r="B11" s="7" t="n">
        <v>0</v>
      </c>
      <c r="C11" s="7" t="n">
        <v>35000</v>
      </c>
      <c r="D11" s="7" t="n">
        <v>28000</v>
      </c>
      <c r="E11" s="7" t="n">
        <v>0</v>
      </c>
      <c r="F11" s="7" t="n">
        <v>0</v>
      </c>
      <c r="G11" s="8">
        <f>SUM(B11:F11)</f>
        <v/>
      </c>
      <c r="H11" s="7" t="n">
        <v>49700</v>
      </c>
      <c r="I11" s="8">
        <f>G11+H11</f>
        <v/>
      </c>
      <c r="J11" s="9" t="n">
        <v>30</v>
      </c>
      <c r="K11" s="10" t="n">
        <v>67.8</v>
      </c>
      <c r="L11" s="11">
        <f>K11-J11</f>
        <v/>
      </c>
      <c r="M11" s="12">
        <f>IF(I$14=0,0,I11/I$14)</f>
        <v/>
      </c>
      <c r="N11" s="13" t="inlineStr">
        <is>
          <t>02/14/2026</t>
        </is>
      </c>
      <c r="O11" s="7" t="n">
        <v>45000</v>
      </c>
      <c r="P11" s="14">
        <f>IF(N11="","",TODAY()-N11)</f>
        <v/>
      </c>
      <c r="Q11" s="15" t="inlineStr">
        <is>
          <t>Slow payer. 61-90 balance is Feb billing. Called 3/25, promised payment by 4/10.</t>
        </is>
      </c>
      <c r="R11" s="16">
        <f>IF(F11&gt;0,"CRITICAL",IF(E11&gt;0,"HIGH",IF(D11&gt;0,"MEDIUM","")))</f>
        <v/>
      </c>
    </row>
    <row r="12">
      <c r="A12" s="17" t="inlineStr">
        <is>
          <t>Township of Oakdale</t>
        </is>
      </c>
      <c r="B12" s="18" t="n">
        <v>48000</v>
      </c>
      <c r="C12" s="18" t="n">
        <v>0</v>
      </c>
      <c r="D12" s="18" t="n">
        <v>0</v>
      </c>
      <c r="E12" s="18" t="n">
        <v>0</v>
      </c>
      <c r="F12" s="18" t="n">
        <v>0</v>
      </c>
      <c r="G12" s="19">
        <f>SUM(B12:F12)</f>
        <v/>
      </c>
      <c r="H12" s="18" t="n">
        <v>56250</v>
      </c>
      <c r="I12" s="19">
        <f>G12+H12</f>
        <v/>
      </c>
      <c r="J12" s="20" t="n">
        <v>30</v>
      </c>
      <c r="K12" s="21" t="n">
        <v>28.5</v>
      </c>
      <c r="L12" s="22">
        <f>K12-J12</f>
        <v/>
      </c>
      <c r="M12" s="23">
        <f>IF(I$14=0,0,I12/I$14)</f>
        <v/>
      </c>
      <c r="N12" s="24" t="inlineStr">
        <is>
          <t>03/22/2026</t>
        </is>
      </c>
      <c r="O12" s="18" t="n">
        <v>125000</v>
      </c>
      <c r="P12" s="25">
        <f>IF(N12="","",TODAY()-N12)</f>
        <v/>
      </c>
      <c r="Q12" s="26" t="inlineStr">
        <is>
          <t>Municipal client. Always pays within terms. Near project completion.</t>
        </is>
      </c>
      <c r="R12" s="27">
        <f>IF(F12&gt;0,"CRITICAL",IF(E12&gt;0,"HIGH",IF(D12&gt;0,"MEDIUM","")))</f>
        <v/>
      </c>
    </row>
    <row r="13">
      <c r="A13" s="6" t="inlineStr">
        <is>
          <t>Harbor Point Partners LLC</t>
        </is>
      </c>
      <c r="B13" s="7" t="n">
        <v>0</v>
      </c>
      <c r="C13" s="7" t="n">
        <v>42000</v>
      </c>
      <c r="D13" s="7" t="n">
        <v>0</v>
      </c>
      <c r="E13" s="7" t="n">
        <v>0</v>
      </c>
      <c r="F13" s="7" t="n">
        <v>0</v>
      </c>
      <c r="G13" s="8">
        <f>SUM(B13:F13)</f>
        <v/>
      </c>
      <c r="H13" s="7" t="n">
        <v>19750</v>
      </c>
      <c r="I13" s="8">
        <f>G13+H13</f>
        <v/>
      </c>
      <c r="J13" s="9" t="n">
        <v>30</v>
      </c>
      <c r="K13" s="10" t="n">
        <v>44.1</v>
      </c>
      <c r="L13" s="11">
        <f>K13-J13</f>
        <v/>
      </c>
      <c r="M13" s="12">
        <f>IF(I$14=0,0,I13/I$14)</f>
        <v/>
      </c>
      <c r="N13" s="13" t="inlineStr">
        <is>
          <t>03/05/2026</t>
        </is>
      </c>
      <c r="O13" s="7" t="n">
        <v>65000</v>
      </c>
      <c r="P13" s="14">
        <f>IF(N13="","",TODAY()-N13)</f>
        <v/>
      </c>
      <c r="Q13" s="15" t="inlineStr">
        <is>
          <t>Standard payer. 31-60 is March billing in normal cycle.</t>
        </is>
      </c>
      <c r="R13" s="16">
        <f>IF(F13&gt;0,"CRITICAL",IF(E13&gt;0,"HIGH",IF(D13&gt;0,"MEDIUM","")))</f>
        <v/>
      </c>
    </row>
    <row r="14">
      <c r="A14" s="28" t="inlineStr">
        <is>
          <t>TOTALS</t>
        </is>
      </c>
      <c r="B14" s="29">
        <f>SUM(B7:B13)</f>
        <v/>
      </c>
      <c r="C14" s="29">
        <f>SUM(C7:C13)</f>
        <v/>
      </c>
      <c r="D14" s="29">
        <f>SUM(D7:D13)</f>
        <v/>
      </c>
      <c r="E14" s="29">
        <f>SUM(E7:E13)</f>
        <v/>
      </c>
      <c r="F14" s="29">
        <f>SUM(F7:F13)</f>
        <v/>
      </c>
      <c r="G14" s="29">
        <f>SUM(G7:G13)</f>
        <v/>
      </c>
      <c r="H14" s="29">
        <f>SUM(H7:H13)</f>
        <v/>
      </c>
      <c r="I14" s="29">
        <f>SUM(I7:I13)</f>
        <v/>
      </c>
      <c r="J14" s="30" t="n"/>
      <c r="K14" s="31">
        <f>IF(G14=0,0,SUMPRODUCT(K7:K13,G7:G13)/G14)</f>
        <v/>
      </c>
      <c r="L14" s="31">
        <f>IF(G14=0,0,SUMPRODUCT(L7:L13,G7:G13)/G14)</f>
        <v/>
      </c>
      <c r="M14" s="30" t="n"/>
      <c r="N14" s="30" t="n"/>
      <c r="O14" s="30" t="n"/>
      <c r="P14" s="30" t="n"/>
      <c r="Q14" s="30" t="n"/>
      <c r="R14" s="30" t="n"/>
    </row>
  </sheetData>
  <autoFilter ref="A6:R13"/>
  <mergeCells count="4">
    <mergeCell ref="A4:H4"/>
    <mergeCell ref="A3:H3"/>
    <mergeCell ref="A2:H2"/>
    <mergeCell ref="A1:H1"/>
  </mergeCells>
  <conditionalFormatting sqref="F7:F13">
    <cfRule type="cellIs" priority="1" operator="greaterThan" dxfId="0">
      <formula>0</formula>
    </cfRule>
  </conditionalFormatting>
  <conditionalFormatting sqref="E7:E13">
    <cfRule type="cellIs" priority="2" operator="greaterThan" dxfId="0">
      <formula>0</formula>
    </cfRule>
  </conditionalFormatting>
  <conditionalFormatting sqref="D7:D13">
    <cfRule type="cellIs" priority="3" operator="greaterThan" dxfId="1">
      <formula>0</formula>
    </cfRule>
  </conditionalFormatting>
  <conditionalFormatting sqref="M7:M13">
    <cfRule type="cellIs" priority="4" operator="greaterThan" dxfId="2">
      <formula>0.25</formula>
    </cfRule>
    <cfRule type="expression" priority="5" dxfId="1">
      <formula>AND(M7&gt;0.15,M7&lt;=0.25)</formula>
    </cfRule>
  </conditionalFormatting>
  <conditionalFormatting sqref="L7:L13">
    <cfRule type="cellIs" priority="6" operator="greaterThan" dxfId="0">
      <formula>30</formula>
    </cfRule>
    <cfRule type="cellIs" priority="7" operator="greaterThan" dxfId="1">
      <formula>15</formula>
    </cfRule>
  </conditionalFormatting>
  <conditionalFormatting sqref="P7:P13">
    <cfRule type="cellIs" priority="8" operator="greaterThan" dxfId="0">
      <formula>90</formula>
    </cfRule>
    <cfRule type="cellIs" priority="9" operator="greaterThan" dxfId="1">
      <formula>60</formula>
    </cfRule>
  </conditionalFormatting>
  <pageMargins left="0.75" right="0.75" top="1" bottom="1" header="0.5" footer="0.5"/>
  <pageSetup orientation="landscape" fitToHeight="0" fitToWidth="1"/>
  <headerFooter>
    <oddHeader/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e5e7eb"/>
    <outlinePr summaryBelow="1" summaryRight="1"/>
    <pageSetUpPr fitToPage="1"/>
  </sheetPr>
  <dimension ref="A1:E33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Acme Construction LLC</t>
        </is>
      </c>
    </row>
    <row r="2">
      <c r="A2" s="2" t="inlineStr">
        <is>
          <t>AR Aging -- Summary &amp; Analytics</t>
        </is>
      </c>
    </row>
    <row r="3">
      <c r="A3" s="3" t="inlineStr">
        <is>
          <t>As of March 31, 2026</t>
        </is>
      </c>
    </row>
    <row r="4" ht="6" customHeight="1"/>
    <row r="5">
      <c r="A5" s="32" t="inlineStr">
        <is>
          <t>KEY METRICS</t>
        </is>
      </c>
    </row>
    <row r="6">
      <c r="A6" s="33" t="inlineStr">
        <is>
          <t>Total AR (excl. Retainage)</t>
        </is>
      </c>
      <c r="B6" s="8">
        <f>'AR Aging Detail'!G14</f>
        <v/>
      </c>
    </row>
    <row r="7">
      <c r="A7" s="33" t="inlineStr">
        <is>
          <t>Total Retainage Receivable</t>
        </is>
      </c>
      <c r="B7" s="8">
        <f>'AR Aging Detail'!H14</f>
        <v/>
      </c>
    </row>
    <row r="8">
      <c r="A8" s="33" t="inlineStr">
        <is>
          <t>Grand Total Receivable</t>
        </is>
      </c>
      <c r="B8" s="8">
        <f>'AR Aging Detail'!I14</f>
        <v/>
      </c>
    </row>
    <row r="9">
      <c r="A9" s="33" t="inlineStr">
        <is>
          <t>Current % of Total</t>
        </is>
      </c>
      <c r="B9" s="12">
        <f>IF('AR Aging Detail'!G14=0,0,'AR Aging Detail'!B14/'AR Aging Detail'!G14)</f>
        <v/>
      </c>
    </row>
    <row r="10">
      <c r="A10" s="33" t="inlineStr">
        <is>
          <t>31-60 Day %</t>
        </is>
      </c>
      <c r="B10" s="12">
        <f>IF('AR Aging Detail'!G14=0,0,'AR Aging Detail'!C14/'AR Aging Detail'!G14)</f>
        <v/>
      </c>
    </row>
    <row r="11">
      <c r="A11" s="33" t="inlineStr">
        <is>
          <t>61-90 Day %</t>
        </is>
      </c>
      <c r="B11" s="12">
        <f>IF('AR Aging Detail'!G14=0,0,'AR Aging Detail'!D14/'AR Aging Detail'!G14)</f>
        <v/>
      </c>
    </row>
    <row r="12">
      <c r="A12" s="33" t="inlineStr">
        <is>
          <t>91-120 Day %</t>
        </is>
      </c>
      <c r="B12" s="12">
        <f>IF('AR Aging Detail'!G14=0,0,'AR Aging Detail'!E14/'AR Aging Detail'!G14)</f>
        <v/>
      </c>
    </row>
    <row r="13">
      <c r="A13" s="33" t="inlineStr">
        <is>
          <t>120+ Day %</t>
        </is>
      </c>
      <c r="B13" s="12">
        <f>IF('AR Aging Detail'!G14=0,0,'AR Aging Detail'!F14/'AR Aging Detail'!G14)</f>
        <v/>
      </c>
    </row>
    <row r="14">
      <c r="A14" s="33" t="inlineStr">
        <is>
          <t>Weighted Average DSO</t>
        </is>
      </c>
      <c r="B14" s="11">
        <f>'AR Aging Detail'!K14</f>
        <v/>
      </c>
    </row>
    <row r="15">
      <c r="A15" s="33" t="inlineStr">
        <is>
          <t>Top Customer Name</t>
        </is>
      </c>
      <c r="B15" s="34">
        <f>INDEX('AR Aging Detail'!A:A,MATCH(MAX('AR Aging Detail'!I7:I13),'AR Aging Detail'!I7:I13,0))</f>
        <v/>
      </c>
    </row>
    <row r="16">
      <c r="A16" s="33" t="inlineStr">
        <is>
          <t>Top Customer Concentration %</t>
        </is>
      </c>
      <c r="B16" s="12">
        <f>MAX('AR Aging Detail'!M7:M13)</f>
        <v/>
      </c>
    </row>
    <row r="17">
      <c r="A17" s="33" t="inlineStr">
        <is>
          <t>Overdue AR (&gt;30 days)</t>
        </is>
      </c>
      <c r="B17" s="8">
        <f>SUM('AR Aging Detail'!C14:'AR Aging Detail'!F14)</f>
        <v/>
      </c>
    </row>
    <row r="18">
      <c r="A18" s="33" t="inlineStr">
        <is>
          <t>Overdue % of Total</t>
        </is>
      </c>
      <c r="B18" s="12">
        <f>IF('AR Aging Detail'!G14=0,0,(SUM('AR Aging Detail'!C14:'AR Aging Detail'!F14))/'AR Aging Detail'!G14)</f>
        <v/>
      </c>
    </row>
    <row r="19">
      <c r="A19" s="33" t="inlineStr">
        <is>
          <t>Allowance for Doubtful Accts (est.)</t>
        </is>
      </c>
      <c r="B19" s="8">
        <f>'AR Aging Detail'!D14*0.05+'AR Aging Detail'!E14*0.10+'AR Aging Detail'!F14*0.25</f>
        <v/>
      </c>
    </row>
    <row r="21">
      <c r="A21" s="32" t="inlineStr">
        <is>
          <t>MONTH-OVER-MONTH</t>
        </is>
      </c>
    </row>
    <row r="22">
      <c r="A22" s="33" t="inlineStr">
        <is>
          <t>Prior Month Total AR</t>
        </is>
      </c>
      <c r="B22" s="7" t="n">
        <v>1875000</v>
      </c>
    </row>
    <row r="23">
      <c r="A23" s="33" t="inlineStr">
        <is>
          <t>AR Change M/M</t>
        </is>
      </c>
      <c r="B23" s="35">
        <f>'AR Aging Detail'!G14-B22</f>
        <v/>
      </c>
    </row>
    <row r="24">
      <c r="A24" s="33" t="inlineStr">
        <is>
          <t>AR Change %</t>
        </is>
      </c>
      <c r="B24" s="12">
        <f>IF(B22=0,0,B23/B22)</f>
        <v/>
      </c>
    </row>
    <row r="26">
      <c r="A26" s="32" t="inlineStr">
        <is>
          <t>6-MONTH TREND</t>
        </is>
      </c>
    </row>
    <row r="27" ht="24" customHeight="1">
      <c r="A27" s="4" t="inlineStr">
        <is>
          <t>Month</t>
        </is>
      </c>
      <c r="B27" s="5" t="inlineStr">
        <is>
          <t>Total AR</t>
        </is>
      </c>
      <c r="C27" s="5" t="inlineStr">
        <is>
          <t>Current %</t>
        </is>
      </c>
      <c r="D27" s="5" t="inlineStr">
        <is>
          <t>Overdue %</t>
        </is>
      </c>
      <c r="E27" s="5" t="inlineStr">
        <is>
          <t>DSO</t>
        </is>
      </c>
    </row>
    <row r="28">
      <c r="A28" s="6" t="inlineStr">
        <is>
          <t>Oct 2025</t>
        </is>
      </c>
      <c r="B28" s="7" t="n">
        <v>1620000</v>
      </c>
      <c r="C28" s="36" t="n">
        <v>0.55</v>
      </c>
      <c r="D28" s="36" t="n">
        <v>0.45</v>
      </c>
      <c r="E28" s="10" t="n">
        <v>48.2</v>
      </c>
    </row>
    <row r="29">
      <c r="A29" s="17" t="inlineStr">
        <is>
          <t>Nov 2025</t>
        </is>
      </c>
      <c r="B29" s="18" t="n">
        <v>1710000</v>
      </c>
      <c r="C29" s="37" t="n">
        <v>0.52</v>
      </c>
      <c r="D29" s="37" t="n">
        <v>0.48</v>
      </c>
      <c r="E29" s="21" t="n">
        <v>51</v>
      </c>
    </row>
    <row r="30">
      <c r="A30" s="6" t="inlineStr">
        <is>
          <t>Dec 2025</t>
        </is>
      </c>
      <c r="B30" s="7" t="n">
        <v>1540000</v>
      </c>
      <c r="C30" s="36" t="n">
        <v>0.6</v>
      </c>
      <c r="D30" s="36" t="n">
        <v>0.4</v>
      </c>
      <c r="E30" s="10" t="n">
        <v>44.8</v>
      </c>
    </row>
    <row r="31">
      <c r="A31" s="17" t="inlineStr">
        <is>
          <t>Jan 2026</t>
        </is>
      </c>
      <c r="B31" s="18" t="n">
        <v>1850000</v>
      </c>
      <c r="C31" s="37" t="n">
        <v>0.48</v>
      </c>
      <c r="D31" s="37" t="n">
        <v>0.52</v>
      </c>
      <c r="E31" s="21" t="n">
        <v>55.3</v>
      </c>
    </row>
    <row r="32">
      <c r="A32" s="6" t="inlineStr">
        <is>
          <t>Feb 2026</t>
        </is>
      </c>
      <c r="B32" s="7" t="n">
        <v>1875000</v>
      </c>
      <c r="C32" s="36" t="n">
        <v>0.5</v>
      </c>
      <c r="D32" s="36" t="n">
        <v>0.5</v>
      </c>
      <c r="E32" s="10" t="n">
        <v>52.1</v>
      </c>
    </row>
    <row r="33">
      <c r="A33" s="17" t="inlineStr">
        <is>
          <t>Mar 2026</t>
        </is>
      </c>
      <c r="B33" s="19">
        <f>'AR Aging Detail'!G14</f>
        <v/>
      </c>
      <c r="C33" s="23">
        <f>IF('AR Aging Detail'!G14=0,0,'AR Aging Detail'!B14/'AR Aging Detail'!G14)</f>
        <v/>
      </c>
      <c r="D33" s="23">
        <f>IF('AR Aging Detail'!G14=0,0,SUM('AR Aging Detail'!C14:'AR Aging Detail'!F14)/'AR Aging Detail'!G14)</f>
        <v/>
      </c>
      <c r="E33" s="22">
        <f>'AR Aging Detail'!K14</f>
        <v/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tabColor rgb="00111010"/>
    <outlinePr summaryBelow="1" summaryRight="1"/>
    <pageSetUpPr fitToPage="1"/>
  </sheetPr>
  <dimension ref="A1:K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4" customWidth="1" min="3" max="3"/>
    <col width="12" customWidth="1" min="4" max="4"/>
    <col width="12" customWidth="1" min="5" max="5"/>
    <col width="18" customWidth="1" min="6" max="6"/>
    <col width="25" customWidth="1" min="7" max="7"/>
    <col width="25" customWidth="1" min="8" max="8"/>
    <col width="18" customWidth="1" min="9" max="9"/>
    <col width="25" customWidth="1" min="10" max="10"/>
    <col width="12" customWidth="1" min="11" max="11"/>
  </cols>
  <sheetData>
    <row r="1">
      <c r="A1" s="1" t="inlineStr">
        <is>
          <t>Acme Construction LLC</t>
        </is>
      </c>
    </row>
    <row r="2">
      <c r="A2" s="2" t="inlineStr">
        <is>
          <t>Collection Action Items</t>
        </is>
      </c>
    </row>
    <row r="3">
      <c r="A3" s="3" t="inlineStr">
        <is>
          <t>As of March 31, 2026</t>
        </is>
      </c>
    </row>
    <row r="4" ht="6" customHeight="1"/>
    <row r="5" ht="30" customHeight="1">
      <c r="A5" s="5" t="inlineStr">
        <is>
          <t>Priority</t>
        </is>
      </c>
      <c r="B5" s="4" t="inlineStr">
        <is>
          <t>Customer Name</t>
        </is>
      </c>
      <c r="C5" s="5" t="inlineStr">
        <is>
          <t>Overdue Amount</t>
        </is>
      </c>
      <c r="D5" s="4" t="inlineStr">
        <is>
          <t>Oldest Bucket</t>
        </is>
      </c>
      <c r="E5" s="5" t="inlineStr">
        <is>
          <t>Days Overdue
(Est)</t>
        </is>
      </c>
      <c r="F5" s="4" t="inlineStr">
        <is>
          <t>Contact Name</t>
        </is>
      </c>
      <c r="G5" s="4" t="inlineStr">
        <is>
          <t>Contact Info</t>
        </is>
      </c>
      <c r="H5" s="4" t="inlineStr">
        <is>
          <t>Last Collection
Action</t>
        </is>
      </c>
      <c r="I5" s="4" t="inlineStr">
        <is>
          <t>Recommended
Action</t>
        </is>
      </c>
      <c r="J5" s="4" t="inlineStr">
        <is>
          <t>Action Taken</t>
        </is>
      </c>
      <c r="K5" s="4" t="inlineStr">
        <is>
          <t>Follow-up
Date</t>
        </is>
      </c>
    </row>
    <row r="6">
      <c r="A6" s="38" t="n">
        <v>1</v>
      </c>
      <c r="B6" s="6" t="inlineStr">
        <is>
          <t>Metro Development Group</t>
        </is>
      </c>
      <c r="C6" s="8" t="n">
        <v>257000</v>
      </c>
      <c r="D6" s="6" t="inlineStr">
        <is>
          <t>120+ days</t>
        </is>
      </c>
      <c r="E6" s="14" t="n">
        <v>150</v>
      </c>
      <c r="F6" s="6" t="inlineStr">
        <is>
          <t>James Holloway</t>
        </is>
      </c>
      <c r="G6" s="6" t="inlineStr">
        <is>
          <t>jholloway@metrodev.com / (555) 456-7890</t>
        </is>
      </c>
      <c r="H6" s="6" t="inlineStr">
        <is>
          <t>CRITICAL: 120+ balance growing. Owner meeting scheduled 4/5. Withholding final retainage release until current.</t>
        </is>
      </c>
      <c r="I6" s="39" t="inlineStr">
        <is>
          <t>Escalate to Owner</t>
        </is>
      </c>
      <c r="J6" s="6" t="n"/>
      <c r="K6" s="40" t="n"/>
    </row>
    <row r="7">
      <c r="A7" s="41" t="n">
        <v>3</v>
      </c>
      <c r="B7" s="17" t="inlineStr">
        <is>
          <t>Riverside Health Partners</t>
        </is>
      </c>
      <c r="C7" s="19" t="n">
        <v>45000</v>
      </c>
      <c r="D7" s="17" t="inlineStr">
        <is>
          <t>61-90 days</t>
        </is>
      </c>
      <c r="E7" s="25" t="n">
        <v>75</v>
      </c>
      <c r="F7" s="17" t="inlineStr">
        <is>
          <t>David Park</t>
        </is>
      </c>
      <c r="G7" s="17" t="inlineStr">
        <is>
          <t>dpark@riversidehealth.com / (555) 345-6789</t>
        </is>
      </c>
      <c r="H7" s="17" t="inlineStr">
        <is>
          <t>61-90 bucket is disputed CO #3 ($45K). PM escalated to owner 3/20.</t>
        </is>
      </c>
      <c r="I7" s="42" t="inlineStr">
        <is>
          <t>Call</t>
        </is>
      </c>
      <c r="J7" s="17" t="n"/>
      <c r="K7" s="43" t="n"/>
    </row>
    <row r="8">
      <c r="A8" s="38" t="n">
        <v>3</v>
      </c>
      <c r="B8" s="6" t="inlineStr">
        <is>
          <t>Summit Brewing Co</t>
        </is>
      </c>
      <c r="C8" s="8" t="n">
        <v>28000</v>
      </c>
      <c r="D8" s="6" t="inlineStr">
        <is>
          <t>61-90 days</t>
        </is>
      </c>
      <c r="E8" s="14" t="n">
        <v>75</v>
      </c>
      <c r="F8" s="6" t="inlineStr">
        <is>
          <t>Tom Brennan</t>
        </is>
      </c>
      <c r="G8" s="6" t="inlineStr">
        <is>
          <t>tbrennan@summitbrewing.com / (555) 890-1234</t>
        </is>
      </c>
      <c r="H8" s="6" t="inlineStr">
        <is>
          <t>Slow payer. 61-90 balance is Feb billing. Called 3/25, promised payment by 4/10.</t>
        </is>
      </c>
      <c r="I8" s="39" t="inlineStr">
        <is>
          <t>Call</t>
        </is>
      </c>
      <c r="J8" s="6" t="n"/>
      <c r="K8" s="40" t="n"/>
    </row>
  </sheetData>
  <mergeCells count="3">
    <mergeCell ref="A3:F3"/>
    <mergeCell ref="A2:F2"/>
    <mergeCell ref="A1:F1"/>
  </mergeCells>
  <conditionalFormatting sqref="A6:A8">
    <cfRule type="cellIs" priority="1" operator="equal" dxfId="2">
      <formula>1</formula>
    </cfRule>
    <cfRule type="cellIs" priority="2" operator="equal" dxfId="3">
      <formula>2</formula>
    </cfRule>
    <cfRule type="cellIs" priority="3" operator="equal" dxfId="1">
      <formula>3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1404 Labs</dc:creator>
  <dc:title xmlns:dc="http://purl.org/dc/elements/1.1/">AR Aging Report</dc:title>
  <dcterms:created xmlns:dcterms="http://purl.org/dc/terms/" xmlns:xsi="http://www.w3.org/2001/XMLSchema-instance" xsi:type="dcterms:W3CDTF">2026-04-12T20:41:59Z</dcterms:created>
  <dcterms:modified xmlns:dcterms="http://purl.org/dc/terms/" xmlns:xsi="http://www.w3.org/2001/XMLSchema-instance" xsi:type="dcterms:W3CDTF">2026-04-12T20:41:59Z</dcterms:modified>
</cp:coreProperties>
</file>