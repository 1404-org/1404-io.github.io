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sh Flow Forecast" sheetId="1" state="visible" r:id="rId1"/>
    <sheet xmlns:r="http://schemas.openxmlformats.org/officeDocument/2006/relationships" name="Assumptions" sheetId="2" state="visible" r:id="rId2"/>
    <sheet xmlns:r="http://schemas.openxmlformats.org/officeDocument/2006/relationships" name="Scenario Analysis" sheetId="3" state="visible" r:id="rId3"/>
  </sheets>
  <definedNames>
    <definedName name="TotalCashInflows">'Cash Flow Forecast'!$P$15</definedName>
    <definedName name="TotalCashOutflows">'Cash Flow Forecast'!$P$31</definedName>
    <definedName name="NetCashFlow">'Cash Flow Forecast'!$P34</definedName>
    <definedName name="EndingCashW13">'Cash Flow Forecast'!$O$35</definedName>
    <definedName name="OpeningCash">'Cash Flow Forecast'!$C$33</definedName>
    <definedName name="EffectiveLiquidity">'Cash Flow Forecast'!$O$40</definedName>
    <definedName name="_xlnm.Print_Titles" localSheetId="0">'Cash Flow Forecast'!$1:$6,'Cash Flow Forecast'!$A:$B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$#,##0"/>
    <numFmt numFmtId="165" formatCode="$#,##0;($#,##0);&quot;-&quot;"/>
  </numFmts>
  <fonts count="13">
    <font>
      <name val="Calibri"/>
      <family val="2"/>
      <color theme="1"/>
      <sz val="11"/>
      <scheme val="minor"/>
    </font>
    <font>
      <name val="Inter"/>
      <b val="1"/>
      <color rgb="00111010"/>
      <sz val="14"/>
    </font>
    <font>
      <name val="Inter"/>
      <b val="1"/>
      <color rgb="00111010"/>
      <sz val="12"/>
    </font>
    <font>
      <name val="Inter"/>
      <color rgb="009a948c"/>
      <sz val="10"/>
    </font>
    <font>
      <name val="Inter"/>
      <b val="1"/>
      <color rgb="00FFFFFF"/>
      <sz val="9"/>
    </font>
    <font>
      <name val="Inter"/>
      <b val="1"/>
      <color rgb="00111010"/>
      <sz val="10"/>
    </font>
    <font>
      <name val="Inter"/>
      <color rgb="00111010"/>
      <sz val="10"/>
    </font>
    <font>
      <name val="Inter"/>
      <color rgb="000000FF"/>
      <sz val="10"/>
    </font>
    <font>
      <name val="Inter"/>
      <color rgb="00000000"/>
      <sz val="10"/>
    </font>
    <font>
      <name val="Inter"/>
      <b val="1"/>
      <color rgb="00000000"/>
      <sz val="10"/>
    </font>
    <font>
      <name val="Inter"/>
      <b val="1"/>
      <color rgb="00111010"/>
      <sz val="11"/>
    </font>
    <font>
      <name val="Inter"/>
      <i val="1"/>
      <color rgb="009a948c"/>
      <sz val="9"/>
    </font>
    <font>
      <name val="Inter"/>
      <i val="1"/>
      <color rgb="009a948c"/>
      <sz val="10"/>
    </font>
  </fonts>
  <fills count="4">
    <fill>
      <patternFill/>
    </fill>
    <fill>
      <patternFill patternType="gray125"/>
    </fill>
    <fill>
      <patternFill patternType="solid">
        <fgColor rgb="00111010"/>
        <bgColor rgb="00111010"/>
      </patternFill>
    </fill>
    <fill>
      <patternFill patternType="solid">
        <fgColor rgb="00E8F4FD"/>
        <bgColor rgb="00E8F4FD"/>
      </patternFill>
    </fill>
  </fills>
  <borders count="5">
    <border>
      <left/>
      <right/>
      <top/>
      <bottom/>
      <diagonal/>
    </border>
    <border>
      <bottom style="medium">
        <color rgb="00111010"/>
      </bottom>
    </border>
    <border>
      <bottom style="hair">
        <color rgb="00D9D9D9"/>
      </bottom>
    </border>
    <border>
      <top style="thin">
        <color rgb="00000000"/>
      </top>
    </border>
    <border>
      <top style="double">
        <color rgb="00000000"/>
      </top>
      <bottom style="thin">
        <color rgb="00000000"/>
      </bottom>
    </border>
  </borders>
  <cellStyleXfs count="1">
    <xf numFmtId="0" fontId="0" fillId="0" borderId="0"/>
  </cellStyleXfs>
  <cellXfs count="3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left" vertical="center" wrapText="1"/>
    </xf>
    <xf numFmtId="0" fontId="4" fillId="2" borderId="1" applyAlignment="1" pivotButton="0" quotePrefix="0" xfId="0">
      <alignment horizontal="right" vertical="center" wrapText="1"/>
    </xf>
    <xf numFmtId="0" fontId="5" fillId="0" borderId="2" applyAlignment="1" pivotButton="0" quotePrefix="0" xfId="0">
      <alignment horizontal="left" vertical="center" wrapText="1"/>
    </xf>
    <xf numFmtId="0" fontId="5" fillId="0" borderId="2" pivotButton="0" quotePrefix="0" xfId="0"/>
    <xf numFmtId="0" fontId="0" fillId="0" borderId="2" pivotButton="0" quotePrefix="0" xfId="0"/>
    <xf numFmtId="0" fontId="6" fillId="0" borderId="2" applyAlignment="1" pivotButton="0" quotePrefix="0" xfId="0">
      <alignment horizontal="left" vertical="center" wrapText="1"/>
    </xf>
    <xf numFmtId="164" fontId="7" fillId="0" borderId="2" applyAlignment="1" pivotButton="0" quotePrefix="0" xfId="0">
      <alignment horizontal="right" vertical="center" wrapText="1"/>
    </xf>
    <xf numFmtId="164" fontId="7" fillId="3" borderId="2" applyAlignment="1" pivotButton="0" quotePrefix="0" xfId="0">
      <alignment horizontal="right" vertical="center" wrapText="1"/>
    </xf>
    <xf numFmtId="164" fontId="8" fillId="0" borderId="2" applyAlignment="1" pivotButton="0" quotePrefix="0" xfId="0">
      <alignment horizontal="right" vertical="center" wrapText="1"/>
    </xf>
    <xf numFmtId="0" fontId="9" fillId="0" borderId="3" applyAlignment="1" pivotButton="0" quotePrefix="0" xfId="0">
      <alignment horizontal="left" vertical="center" wrapText="1"/>
    </xf>
    <xf numFmtId="164" fontId="9" fillId="0" borderId="3" applyAlignment="1" pivotButton="0" quotePrefix="0" xfId="0">
      <alignment horizontal="right" vertical="center" wrapText="1"/>
    </xf>
    <xf numFmtId="0" fontId="9" fillId="0" borderId="2" pivotButton="0" quotePrefix="0" xfId="0"/>
    <xf numFmtId="0" fontId="9" fillId="0" borderId="2" applyAlignment="1" pivotButton="0" quotePrefix="0" xfId="0">
      <alignment horizontal="left" vertical="center" wrapText="1"/>
    </xf>
    <xf numFmtId="0" fontId="8" fillId="0" borderId="2" applyAlignment="1" pivotButton="0" quotePrefix="0" xfId="0">
      <alignment horizontal="right" vertical="center" wrapText="1"/>
    </xf>
    <xf numFmtId="0" fontId="8" fillId="0" borderId="2" pivotButton="0" quotePrefix="0" xfId="0"/>
    <xf numFmtId="0" fontId="8" fillId="0" borderId="2" applyAlignment="1" pivotButton="0" quotePrefix="0" xfId="0">
      <alignment horizontal="left" vertical="center" wrapText="1"/>
    </xf>
    <xf numFmtId="165" fontId="8" fillId="0" borderId="2" applyAlignment="1" pivotButton="0" quotePrefix="0" xfId="0">
      <alignment horizontal="right" vertical="center" wrapText="1"/>
    </xf>
    <xf numFmtId="0" fontId="9" fillId="0" borderId="4" pivotButton="0" quotePrefix="0" xfId="0"/>
    <xf numFmtId="0" fontId="9" fillId="0" borderId="4" applyAlignment="1" pivotButton="0" quotePrefix="0" xfId="0">
      <alignment horizontal="left" vertical="center" wrapText="1"/>
    </xf>
    <xf numFmtId="164" fontId="9" fillId="0" borderId="4" applyAlignment="1" pivotButton="0" quotePrefix="0" xfId="0">
      <alignment horizontal="right" vertical="center" wrapText="1"/>
    </xf>
    <xf numFmtId="0" fontId="6" fillId="0" borderId="2" pivotButton="0" quotePrefix="0" xfId="0"/>
    <xf numFmtId="0" fontId="10" fillId="0" borderId="0" pivotButton="0" quotePrefix="0" xfId="0"/>
    <xf numFmtId="3" fontId="8" fillId="0" borderId="2" applyAlignment="1" pivotButton="0" quotePrefix="0" xfId="0">
      <alignment horizontal="right" vertical="center" wrapText="1"/>
    </xf>
    <xf numFmtId="0" fontId="11" fillId="0" borderId="0" pivotButton="0" quotePrefix="0" xfId="0"/>
    <xf numFmtId="0" fontId="5" fillId="0" borderId="0" pivotButton="0" quotePrefix="0" xfId="0"/>
    <xf numFmtId="0" fontId="6" fillId="0" borderId="0" pivotButton="0" quotePrefix="0" xfId="0"/>
    <xf numFmtId="0" fontId="7" fillId="0" borderId="0" pivotButton="0" quotePrefix="0" xfId="0"/>
    <xf numFmtId="0" fontId="12" fillId="0" borderId="0" pivotButton="0" quotePrefix="0" xfId="0"/>
    <xf numFmtId="0" fontId="6" fillId="3" borderId="0" pivotButton="0" quotePrefix="0" xfId="0"/>
    <xf numFmtId="0" fontId="4" fillId="2" borderId="1" pivotButton="0" quotePrefix="0" xfId="0"/>
    <xf numFmtId="0" fontId="7" fillId="0" borderId="2" pivotButton="0" quotePrefix="0" xfId="0"/>
  </cellXfs>
  <cellStyles count="1">
    <cellStyle name="Normal" xfId="0" builtinId="0" hidden="0"/>
  </cellStyles>
  <dxfs count="4">
    <dxf>
      <font>
        <b val="1"/>
        <color rgb="00721C24"/>
      </font>
      <fill>
        <patternFill patternType="solid">
          <fgColor rgb="00F8D7DA"/>
          <bgColor rgb="00F8D7DA"/>
        </patternFill>
      </fill>
    </dxf>
    <dxf>
      <font>
        <b val="1"/>
        <color rgb="00DC3545"/>
      </font>
    </dxf>
    <dxf>
      <font>
        <color rgb="00FD7E14"/>
      </font>
    </dxf>
    <dxf>
      <font>
        <color rgb="00DC3545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11010"/>
    <outlinePr summaryBelow="1" summaryRight="1"/>
    <pageSetUpPr fitToPage="1"/>
  </sheetPr>
  <dimension ref="A1:P53"/>
  <sheetViews>
    <sheetView workbookViewId="0">
      <pane xSplit="2" ySplit="6" topLeftCell="C7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30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6" customWidth="1" min="16" max="16"/>
  </cols>
  <sheetData>
    <row r="1">
      <c r="A1" s="1" t="inlineStr">
        <is>
          <t>Acme Construction LLC</t>
        </is>
      </c>
    </row>
    <row r="2">
      <c r="A2" s="2" t="inlineStr">
        <is>
          <t>13-Week Rolling Cash Flow Forecast</t>
        </is>
      </c>
    </row>
    <row r="3">
      <c r="A3" s="3" t="inlineStr">
        <is>
          <t>Week of 03/30/2026 through 06/22/2026</t>
        </is>
      </c>
    </row>
    <row r="4">
      <c r="A4" s="3" t="inlineStr">
        <is>
          <t>Prepared March 31, 2026 | 1404 Labs</t>
        </is>
      </c>
    </row>
    <row r="5" ht="6" customHeight="1"/>
    <row r="6" ht="30" customHeight="1">
      <c r="A6" s="4" t="inlineStr">
        <is>
          <t>Section</t>
        </is>
      </c>
      <c r="B6" s="4" t="inlineStr">
        <is>
          <t>Line Item</t>
        </is>
      </c>
      <c r="C6" s="5" t="inlineStr">
        <is>
          <t>W1
03/30/2026</t>
        </is>
      </c>
      <c r="D6" s="5" t="inlineStr">
        <is>
          <t>W2
04/06/2026</t>
        </is>
      </c>
      <c r="E6" s="5" t="inlineStr">
        <is>
          <t>W3
04/13/2026</t>
        </is>
      </c>
      <c r="F6" s="5" t="inlineStr">
        <is>
          <t>W4
04/20/2026</t>
        </is>
      </c>
      <c r="G6" s="5" t="inlineStr">
        <is>
          <t>W5
04/27/2026</t>
        </is>
      </c>
      <c r="H6" s="5" t="inlineStr">
        <is>
          <t>W6
05/04/2026</t>
        </is>
      </c>
      <c r="I6" s="5" t="inlineStr">
        <is>
          <t>W7
05/11/2026</t>
        </is>
      </c>
      <c r="J6" s="5" t="inlineStr">
        <is>
          <t>W8
05/18/2026</t>
        </is>
      </c>
      <c r="K6" s="5" t="inlineStr">
        <is>
          <t>W9
05/25/2026</t>
        </is>
      </c>
      <c r="L6" s="5" t="inlineStr">
        <is>
          <t>W10
06/01/2026</t>
        </is>
      </c>
      <c r="M6" s="5" t="inlineStr">
        <is>
          <t>W11
06/08/2026</t>
        </is>
      </c>
      <c r="N6" s="5" t="inlineStr">
        <is>
          <t>W12
06/15/2026</t>
        </is>
      </c>
      <c r="O6" s="5" t="inlineStr">
        <is>
          <t>W13
06/22/2026</t>
        </is>
      </c>
      <c r="P6" s="5" t="inlineStr">
        <is>
          <t>13-Week
Total</t>
        </is>
      </c>
    </row>
    <row r="7">
      <c r="A7" s="6" t="inlineStr">
        <is>
          <t>CASH INFLOWS</t>
        </is>
      </c>
      <c r="B7" s="7" t="n"/>
      <c r="C7" s="8" t="n"/>
      <c r="D7" s="8" t="n"/>
      <c r="E7" s="8" t="n"/>
      <c r="F7" s="8" t="n"/>
      <c r="G7" s="8" t="n"/>
      <c r="H7" s="8" t="n"/>
      <c r="I7" s="8" t="n"/>
      <c r="J7" s="8" t="n"/>
      <c r="K7" s="8" t="n"/>
      <c r="L7" s="8" t="n"/>
      <c r="M7" s="8" t="n"/>
      <c r="N7" s="8" t="n"/>
      <c r="O7" s="8" t="n"/>
      <c r="P7" s="8" t="n"/>
    </row>
    <row r="8">
      <c r="A8" s="9" t="n"/>
      <c r="B8" s="9" t="inlineStr">
        <is>
          <t>AR — Westfield School District</t>
        </is>
      </c>
      <c r="C8" s="10" t="n">
        <v>0</v>
      </c>
      <c r="D8" s="10" t="n">
        <v>185000</v>
      </c>
      <c r="E8" s="10" t="n">
        <v>0</v>
      </c>
      <c r="F8" s="10" t="n">
        <v>0</v>
      </c>
      <c r="G8" s="11" t="n">
        <v>0</v>
      </c>
      <c r="H8" s="11" t="n">
        <v>210000</v>
      </c>
      <c r="I8" s="11" t="n">
        <v>0</v>
      </c>
      <c r="J8" s="11" t="n">
        <v>0</v>
      </c>
      <c r="K8" s="11" t="n">
        <v>0</v>
      </c>
      <c r="L8" s="11" t="n">
        <v>195000</v>
      </c>
      <c r="M8" s="11" t="n">
        <v>0</v>
      </c>
      <c r="N8" s="11" t="n">
        <v>0</v>
      </c>
      <c r="O8" s="11" t="n">
        <v>0</v>
      </c>
      <c r="P8" s="12">
        <f>SUM(C8:O8)</f>
        <v/>
      </c>
    </row>
    <row r="9">
      <c r="A9" s="9" t="n"/>
      <c r="B9" s="9" t="inlineStr">
        <is>
          <t>AR — Riverside Health Partners</t>
        </is>
      </c>
      <c r="C9" s="10" t="n">
        <v>0</v>
      </c>
      <c r="D9" s="10" t="n">
        <v>0</v>
      </c>
      <c r="E9" s="10" t="n">
        <v>125000</v>
      </c>
      <c r="F9" s="10" t="n">
        <v>0</v>
      </c>
      <c r="G9" s="11" t="n">
        <v>0</v>
      </c>
      <c r="H9" s="11" t="n">
        <v>0</v>
      </c>
      <c r="I9" s="11" t="n">
        <v>0</v>
      </c>
      <c r="J9" s="11" t="n">
        <v>140000</v>
      </c>
      <c r="K9" s="11" t="n">
        <v>0</v>
      </c>
      <c r="L9" s="11" t="n">
        <v>0</v>
      </c>
      <c r="M9" s="11" t="n">
        <v>0</v>
      </c>
      <c r="N9" s="11" t="n">
        <v>0</v>
      </c>
      <c r="O9" s="11" t="n">
        <v>135000</v>
      </c>
      <c r="P9" s="12">
        <f>SUM(C9:O9)</f>
        <v/>
      </c>
    </row>
    <row r="10">
      <c r="A10" s="9" t="n"/>
      <c r="B10" s="9" t="inlineStr">
        <is>
          <t>AR — Metro Development Group</t>
        </is>
      </c>
      <c r="C10" s="10" t="n">
        <v>0</v>
      </c>
      <c r="D10" s="10" t="n">
        <v>0</v>
      </c>
      <c r="E10" s="10" t="n">
        <v>0</v>
      </c>
      <c r="F10" s="11" t="n">
        <v>95000</v>
      </c>
      <c r="G10" s="11" t="n">
        <v>0</v>
      </c>
      <c r="H10" s="11" t="n">
        <v>0</v>
      </c>
      <c r="I10" s="11" t="n">
        <v>0</v>
      </c>
      <c r="J10" s="11" t="n">
        <v>0</v>
      </c>
      <c r="K10" s="11" t="n">
        <v>88000</v>
      </c>
      <c r="L10" s="11" t="n">
        <v>0</v>
      </c>
      <c r="M10" s="11" t="n">
        <v>0</v>
      </c>
      <c r="N10" s="11" t="n">
        <v>0</v>
      </c>
      <c r="O10" s="11" t="n">
        <v>0</v>
      </c>
      <c r="P10" s="12">
        <f>SUM(C10:O10)</f>
        <v/>
      </c>
    </row>
    <row r="11">
      <c r="A11" s="9" t="n"/>
      <c r="B11" s="9" t="inlineStr">
        <is>
          <t>AR — Harbor Point Partners</t>
        </is>
      </c>
      <c r="C11" s="10" t="n">
        <v>48000</v>
      </c>
      <c r="D11" s="10" t="n">
        <v>0</v>
      </c>
      <c r="E11" s="11" t="n">
        <v>0</v>
      </c>
      <c r="F11" s="11" t="n">
        <v>0</v>
      </c>
      <c r="G11" s="11" t="n">
        <v>52000</v>
      </c>
      <c r="H11" s="11" t="n">
        <v>0</v>
      </c>
      <c r="I11" s="11" t="n">
        <v>0</v>
      </c>
      <c r="J11" s="11" t="n">
        <v>0</v>
      </c>
      <c r="K11" s="11" t="n">
        <v>0</v>
      </c>
      <c r="L11" s="11" t="n">
        <v>55000</v>
      </c>
      <c r="M11" s="11" t="n">
        <v>0</v>
      </c>
      <c r="N11" s="11" t="n">
        <v>0</v>
      </c>
      <c r="O11" s="11" t="n">
        <v>0</v>
      </c>
      <c r="P11" s="12">
        <f>SUM(C11:O11)</f>
        <v/>
      </c>
    </row>
    <row r="12">
      <c r="A12" s="9" t="n"/>
      <c r="B12" s="9" t="inlineStr">
        <is>
          <t>AR — All Other Customers</t>
        </is>
      </c>
      <c r="C12" s="10" t="n">
        <v>12000</v>
      </c>
      <c r="D12" s="10" t="n">
        <v>8500</v>
      </c>
      <c r="E12" s="11" t="n">
        <v>15000</v>
      </c>
      <c r="F12" s="11" t="n">
        <v>9200</v>
      </c>
      <c r="G12" s="11" t="n">
        <v>11000</v>
      </c>
      <c r="H12" s="11" t="n">
        <v>13500</v>
      </c>
      <c r="I12" s="11" t="n">
        <v>7800</v>
      </c>
      <c r="J12" s="11" t="n">
        <v>14200</v>
      </c>
      <c r="K12" s="11" t="n">
        <v>10500</v>
      </c>
      <c r="L12" s="11" t="n">
        <v>12800</v>
      </c>
      <c r="M12" s="11" t="n">
        <v>9000</v>
      </c>
      <c r="N12" s="11" t="n">
        <v>11500</v>
      </c>
      <c r="O12" s="11" t="n">
        <v>8700</v>
      </c>
      <c r="P12" s="12">
        <f>SUM(C12:O12)</f>
        <v/>
      </c>
    </row>
    <row r="13">
      <c r="A13" s="9" t="n"/>
      <c r="B13" s="9" t="inlineStr">
        <is>
          <t>Retainage Releases</t>
        </is>
      </c>
      <c r="C13" s="11" t="n">
        <v>0</v>
      </c>
      <c r="D13" s="11" t="n">
        <v>0</v>
      </c>
      <c r="E13" s="11" t="n">
        <v>0</v>
      </c>
      <c r="F13" s="11" t="n">
        <v>0</v>
      </c>
      <c r="G13" s="11" t="n">
        <v>0</v>
      </c>
      <c r="H13" s="11" t="n">
        <v>56250</v>
      </c>
      <c r="I13" s="11" t="n">
        <v>0</v>
      </c>
      <c r="J13" s="11" t="n">
        <v>0</v>
      </c>
      <c r="K13" s="11" t="n">
        <v>0</v>
      </c>
      <c r="L13" s="11" t="n">
        <v>0</v>
      </c>
      <c r="M13" s="11" t="n">
        <v>0</v>
      </c>
      <c r="N13" s="11" t="n">
        <v>0</v>
      </c>
      <c r="O13" s="11" t="n">
        <v>49700</v>
      </c>
      <c r="P13" s="12">
        <f>SUM(C13:O13)</f>
        <v/>
      </c>
    </row>
    <row r="14">
      <c r="A14" s="9" t="n"/>
      <c r="B14" s="9" t="inlineStr">
        <is>
          <t>Other Income</t>
        </is>
      </c>
      <c r="C14" s="10" t="n">
        <v>1200</v>
      </c>
      <c r="D14" s="10" t="n">
        <v>1200</v>
      </c>
      <c r="E14" s="11" t="n">
        <v>1200</v>
      </c>
      <c r="F14" s="11" t="n">
        <v>1200</v>
      </c>
      <c r="G14" s="11" t="n">
        <v>1200</v>
      </c>
      <c r="H14" s="11" t="n">
        <v>1200</v>
      </c>
      <c r="I14" s="11" t="n">
        <v>1200</v>
      </c>
      <c r="J14" s="11" t="n">
        <v>1200</v>
      </c>
      <c r="K14" s="11" t="n">
        <v>1200</v>
      </c>
      <c r="L14" s="11" t="n">
        <v>1200</v>
      </c>
      <c r="M14" s="11" t="n">
        <v>1200</v>
      </c>
      <c r="N14" s="11" t="n">
        <v>1200</v>
      </c>
      <c r="O14" s="11" t="n">
        <v>1200</v>
      </c>
      <c r="P14" s="12">
        <f>SUM(C14:O14)</f>
        <v/>
      </c>
    </row>
    <row r="15">
      <c r="A15" s="13" t="n"/>
      <c r="B15" s="13" t="inlineStr">
        <is>
          <t>Total Cash Inflows</t>
        </is>
      </c>
      <c r="C15" s="14">
        <f>SUM(C8:C14)</f>
        <v/>
      </c>
      <c r="D15" s="14">
        <f>SUM(D8:D14)</f>
        <v/>
      </c>
      <c r="E15" s="14">
        <f>SUM(E8:E14)</f>
        <v/>
      </c>
      <c r="F15" s="14">
        <f>SUM(F8:F14)</f>
        <v/>
      </c>
      <c r="G15" s="14">
        <f>SUM(G8:G14)</f>
        <v/>
      </c>
      <c r="H15" s="14">
        <f>SUM(H8:H14)</f>
        <v/>
      </c>
      <c r="I15" s="14">
        <f>SUM(I8:I14)</f>
        <v/>
      </c>
      <c r="J15" s="14">
        <f>SUM(J8:J14)</f>
        <v/>
      </c>
      <c r="K15" s="14">
        <f>SUM(K8:K14)</f>
        <v/>
      </c>
      <c r="L15" s="14">
        <f>SUM(L8:L14)</f>
        <v/>
      </c>
      <c r="M15" s="14">
        <f>SUM(M8:M14)</f>
        <v/>
      </c>
      <c r="N15" s="14">
        <f>SUM(N8:N14)</f>
        <v/>
      </c>
      <c r="O15" s="14">
        <f>SUM(O8:O14)</f>
        <v/>
      </c>
      <c r="P15" s="14">
        <f>SUM(P8:P14)</f>
        <v/>
      </c>
    </row>
    <row r="17">
      <c r="A17" s="6" t="inlineStr">
        <is>
          <t>CASH OUTFLOWS</t>
        </is>
      </c>
      <c r="B17" s="7" t="n"/>
      <c r="C17" s="8" t="n"/>
      <c r="D17" s="8" t="n"/>
      <c r="E17" s="8" t="n"/>
      <c r="F17" s="8" t="n"/>
      <c r="G17" s="8" t="n"/>
      <c r="H17" s="8" t="n"/>
      <c r="I17" s="8" t="n"/>
      <c r="J17" s="8" t="n"/>
      <c r="K17" s="8" t="n"/>
      <c r="L17" s="8" t="n"/>
      <c r="M17" s="8" t="n"/>
      <c r="N17" s="8" t="n"/>
      <c r="O17" s="8" t="n"/>
      <c r="P17" s="8" t="n"/>
    </row>
    <row r="18">
      <c r="A18" s="9" t="n"/>
      <c r="B18" s="9" t="inlineStr">
        <is>
          <t>Payroll + Burden</t>
        </is>
      </c>
      <c r="C18" s="10" t="n">
        <v>142000</v>
      </c>
      <c r="D18" s="10" t="n">
        <v>0</v>
      </c>
      <c r="E18" s="11" t="n">
        <v>145000</v>
      </c>
      <c r="F18" s="11" t="n">
        <v>0</v>
      </c>
      <c r="G18" s="11" t="n">
        <v>148000</v>
      </c>
      <c r="H18" s="11" t="n">
        <v>0</v>
      </c>
      <c r="I18" s="11" t="n">
        <v>142000</v>
      </c>
      <c r="J18" s="11" t="n">
        <v>0</v>
      </c>
      <c r="K18" s="11" t="n">
        <v>150000</v>
      </c>
      <c r="L18" s="11" t="n">
        <v>0</v>
      </c>
      <c r="M18" s="11" t="n">
        <v>145000</v>
      </c>
      <c r="N18" s="11" t="n">
        <v>0</v>
      </c>
      <c r="O18" s="11" t="n">
        <v>148000</v>
      </c>
      <c r="P18" s="12">
        <f>SUM(C18:O18)</f>
        <v/>
      </c>
    </row>
    <row r="19">
      <c r="A19" s="9" t="n"/>
      <c r="B19" s="9" t="inlineStr">
        <is>
          <t>Payroll Taxes</t>
        </is>
      </c>
      <c r="C19" s="10" t="n">
        <v>28400</v>
      </c>
      <c r="D19" s="10" t="n">
        <v>0</v>
      </c>
      <c r="E19" s="11" t="n">
        <v>29000</v>
      </c>
      <c r="F19" s="11" t="n">
        <v>0</v>
      </c>
      <c r="G19" s="11" t="n">
        <v>29600</v>
      </c>
      <c r="H19" s="11" t="n">
        <v>0</v>
      </c>
      <c r="I19" s="11" t="n">
        <v>28400</v>
      </c>
      <c r="J19" s="11" t="n">
        <v>0</v>
      </c>
      <c r="K19" s="11" t="n">
        <v>30000</v>
      </c>
      <c r="L19" s="11" t="n">
        <v>0</v>
      </c>
      <c r="M19" s="11" t="n">
        <v>29000</v>
      </c>
      <c r="N19" s="11" t="n">
        <v>0</v>
      </c>
      <c r="O19" s="11" t="n">
        <v>29600</v>
      </c>
      <c r="P19" s="12">
        <f>SUM(C19:O19)</f>
        <v/>
      </c>
    </row>
    <row r="20">
      <c r="A20" s="9" t="n"/>
      <c r="B20" s="9" t="inlineStr">
        <is>
          <t>Subcontractors</t>
        </is>
      </c>
      <c r="C20" s="10" t="n">
        <v>85000</v>
      </c>
      <c r="D20" s="10" t="n">
        <v>0</v>
      </c>
      <c r="E20" s="10" t="n">
        <v>42000</v>
      </c>
      <c r="F20" s="10" t="n">
        <v>67000</v>
      </c>
      <c r="G20" s="10" t="n">
        <v>0</v>
      </c>
      <c r="H20" s="10" t="n">
        <v>55000</v>
      </c>
      <c r="I20" s="10" t="n">
        <v>0</v>
      </c>
      <c r="J20" s="10" t="n">
        <v>73000</v>
      </c>
      <c r="K20" s="10" t="n">
        <v>0</v>
      </c>
      <c r="L20" s="10" t="n">
        <v>48000</v>
      </c>
      <c r="M20" s="10" t="n">
        <v>0</v>
      </c>
      <c r="N20" s="10" t="n">
        <v>61000</v>
      </c>
      <c r="O20" s="10" t="n">
        <v>0</v>
      </c>
      <c r="P20" s="12">
        <f>SUM(C20:O20)</f>
        <v/>
      </c>
    </row>
    <row r="21">
      <c r="A21" s="9" t="n"/>
      <c r="B21" s="9" t="inlineStr">
        <is>
          <t>Materials</t>
        </is>
      </c>
      <c r="C21" s="10" t="n">
        <v>32000</v>
      </c>
      <c r="D21" s="10" t="n">
        <v>18500</v>
      </c>
      <c r="E21" s="11" t="n">
        <v>25000</v>
      </c>
      <c r="F21" s="11" t="n">
        <v>15000</v>
      </c>
      <c r="G21" s="11" t="n">
        <v>28000</v>
      </c>
      <c r="H21" s="11" t="n">
        <v>22000</v>
      </c>
      <c r="I21" s="11" t="n">
        <v>19500</v>
      </c>
      <c r="J21" s="11" t="n">
        <v>31000</v>
      </c>
      <c r="K21" s="11" t="n">
        <v>17000</v>
      </c>
      <c r="L21" s="11" t="n">
        <v>24000</v>
      </c>
      <c r="M21" s="11" t="n">
        <v>20000</v>
      </c>
      <c r="N21" s="11" t="n">
        <v>27500</v>
      </c>
      <c r="O21" s="11" t="n">
        <v>16000</v>
      </c>
      <c r="P21" s="12">
        <f>SUM(C21:O21)</f>
        <v/>
      </c>
    </row>
    <row r="22">
      <c r="A22" s="9" t="n"/>
      <c r="B22" s="9" t="inlineStr">
        <is>
          <t>Equipment Leases/Rentals</t>
        </is>
      </c>
      <c r="C22" s="10" t="n">
        <v>8500</v>
      </c>
      <c r="D22" s="10" t="n">
        <v>0</v>
      </c>
      <c r="E22" s="10" t="n">
        <v>0</v>
      </c>
      <c r="F22" s="10" t="n">
        <v>8500</v>
      </c>
      <c r="G22" s="10" t="n">
        <v>0</v>
      </c>
      <c r="H22" s="10" t="n">
        <v>0</v>
      </c>
      <c r="I22" s="10" t="n">
        <v>8500</v>
      </c>
      <c r="J22" s="10" t="n">
        <v>0</v>
      </c>
      <c r="K22" s="10" t="n">
        <v>0</v>
      </c>
      <c r="L22" s="10" t="n">
        <v>8500</v>
      </c>
      <c r="M22" s="10" t="n">
        <v>0</v>
      </c>
      <c r="N22" s="10" t="n">
        <v>0</v>
      </c>
      <c r="O22" s="10" t="n">
        <v>8500</v>
      </c>
      <c r="P22" s="12">
        <f>SUM(C22:O22)</f>
        <v/>
      </c>
    </row>
    <row r="23">
      <c r="A23" s="9" t="n"/>
      <c r="B23" s="9" t="inlineStr">
        <is>
          <t>Rent</t>
        </is>
      </c>
      <c r="C23" s="10" t="n">
        <v>12000</v>
      </c>
      <c r="D23" s="10" t="n">
        <v>0</v>
      </c>
      <c r="E23" s="10" t="n">
        <v>0</v>
      </c>
      <c r="F23" s="10" t="n">
        <v>0</v>
      </c>
      <c r="G23" s="11" t="n">
        <v>12000</v>
      </c>
      <c r="H23" s="11" t="n">
        <v>0</v>
      </c>
      <c r="I23" s="11" t="n">
        <v>0</v>
      </c>
      <c r="J23" s="11" t="n">
        <v>0</v>
      </c>
      <c r="K23" s="11" t="n">
        <v>12000</v>
      </c>
      <c r="L23" s="11" t="n">
        <v>0</v>
      </c>
      <c r="M23" s="11" t="n">
        <v>0</v>
      </c>
      <c r="N23" s="11" t="n">
        <v>0</v>
      </c>
      <c r="O23" s="11" t="n">
        <v>12000</v>
      </c>
      <c r="P23" s="12">
        <f>SUM(C23:O23)</f>
        <v/>
      </c>
    </row>
    <row r="24">
      <c r="A24" s="9" t="n"/>
      <c r="B24" s="9" t="inlineStr">
        <is>
          <t>Insurance Premiums</t>
        </is>
      </c>
      <c r="C24" s="10" t="n">
        <v>0</v>
      </c>
      <c r="D24" s="10" t="n">
        <v>6800</v>
      </c>
      <c r="E24" s="10" t="n">
        <v>0</v>
      </c>
      <c r="F24" s="10" t="n">
        <v>0</v>
      </c>
      <c r="G24" s="11" t="n">
        <v>0</v>
      </c>
      <c r="H24" s="11" t="n">
        <v>6800</v>
      </c>
      <c r="I24" s="11" t="n">
        <v>0</v>
      </c>
      <c r="J24" s="11" t="n">
        <v>0</v>
      </c>
      <c r="K24" s="11" t="n">
        <v>0</v>
      </c>
      <c r="L24" s="11" t="n">
        <v>6800</v>
      </c>
      <c r="M24" s="11" t="n">
        <v>0</v>
      </c>
      <c r="N24" s="11" t="n">
        <v>0</v>
      </c>
      <c r="O24" s="11" t="n">
        <v>0</v>
      </c>
      <c r="P24" s="12">
        <f>SUM(C24:O24)</f>
        <v/>
      </c>
    </row>
    <row r="25">
      <c r="A25" s="9" t="n"/>
      <c r="B25" s="9" t="inlineStr">
        <is>
          <t>Utilities</t>
        </is>
      </c>
      <c r="C25" s="10" t="n">
        <v>2200</v>
      </c>
      <c r="D25" s="10" t="n">
        <v>0</v>
      </c>
      <c r="E25" s="10" t="n">
        <v>0</v>
      </c>
      <c r="F25" s="10" t="n">
        <v>0</v>
      </c>
      <c r="G25" s="11" t="n">
        <v>2200</v>
      </c>
      <c r="H25" s="11" t="n">
        <v>0</v>
      </c>
      <c r="I25" s="11" t="n">
        <v>0</v>
      </c>
      <c r="J25" s="11" t="n">
        <v>0</v>
      </c>
      <c r="K25" s="11" t="n">
        <v>2200</v>
      </c>
      <c r="L25" s="11" t="n">
        <v>0</v>
      </c>
      <c r="M25" s="11" t="n">
        <v>0</v>
      </c>
      <c r="N25" s="11" t="n">
        <v>0</v>
      </c>
      <c r="O25" s="11" t="n">
        <v>2200</v>
      </c>
      <c r="P25" s="12">
        <f>SUM(C25:O25)</f>
        <v/>
      </c>
    </row>
    <row r="26">
      <c r="A26" s="9" t="n"/>
      <c r="B26" s="9" t="inlineStr">
        <is>
          <t>Professional Services</t>
        </is>
      </c>
      <c r="C26" s="10" t="n">
        <v>5000</v>
      </c>
      <c r="D26" s="10" t="n">
        <v>0</v>
      </c>
      <c r="E26" s="10" t="n">
        <v>0</v>
      </c>
      <c r="F26" s="10" t="n">
        <v>0</v>
      </c>
      <c r="G26" s="11" t="n">
        <v>5000</v>
      </c>
      <c r="H26" s="11" t="n">
        <v>0</v>
      </c>
      <c r="I26" s="11" t="n">
        <v>0</v>
      </c>
      <c r="J26" s="11" t="n">
        <v>0</v>
      </c>
      <c r="K26" s="11" t="n">
        <v>5000</v>
      </c>
      <c r="L26" s="11" t="n">
        <v>0</v>
      </c>
      <c r="M26" s="11" t="n">
        <v>0</v>
      </c>
      <c r="N26" s="11" t="n">
        <v>0</v>
      </c>
      <c r="O26" s="11" t="n">
        <v>5000</v>
      </c>
      <c r="P26" s="12">
        <f>SUM(C26:O26)</f>
        <v/>
      </c>
    </row>
    <row r="27">
      <c r="A27" s="9" t="n"/>
      <c r="B27" s="9" t="inlineStr">
        <is>
          <t>Vehicle Payments</t>
        </is>
      </c>
      <c r="C27" s="10" t="n">
        <v>0</v>
      </c>
      <c r="D27" s="10" t="n">
        <v>3200</v>
      </c>
      <c r="E27" s="10" t="n">
        <v>0</v>
      </c>
      <c r="F27" s="10" t="n">
        <v>0</v>
      </c>
      <c r="G27" s="11" t="n">
        <v>0</v>
      </c>
      <c r="H27" s="11" t="n">
        <v>3200</v>
      </c>
      <c r="I27" s="11" t="n">
        <v>0</v>
      </c>
      <c r="J27" s="11" t="n">
        <v>0</v>
      </c>
      <c r="K27" s="11" t="n">
        <v>0</v>
      </c>
      <c r="L27" s="11" t="n">
        <v>3200</v>
      </c>
      <c r="M27" s="11" t="n">
        <v>0</v>
      </c>
      <c r="N27" s="11" t="n">
        <v>0</v>
      </c>
      <c r="O27" s="11" t="n">
        <v>0</v>
      </c>
      <c r="P27" s="12">
        <f>SUM(C27:O27)</f>
        <v/>
      </c>
    </row>
    <row r="28">
      <c r="A28" s="9" t="n"/>
      <c r="B28" s="9" t="inlineStr">
        <is>
          <t>Debt Service</t>
        </is>
      </c>
      <c r="C28" s="10" t="n">
        <v>0</v>
      </c>
      <c r="D28" s="10" t="n">
        <v>0</v>
      </c>
      <c r="E28" s="10" t="n">
        <v>4500</v>
      </c>
      <c r="F28" s="10" t="n">
        <v>0</v>
      </c>
      <c r="G28" s="11" t="n">
        <v>0</v>
      </c>
      <c r="H28" s="11" t="n">
        <v>0</v>
      </c>
      <c r="I28" s="11" t="n">
        <v>4500</v>
      </c>
      <c r="J28" s="11" t="n">
        <v>0</v>
      </c>
      <c r="K28" s="11" t="n">
        <v>0</v>
      </c>
      <c r="L28" s="11" t="n">
        <v>0</v>
      </c>
      <c r="M28" s="11" t="n">
        <v>4500</v>
      </c>
      <c r="N28" s="11" t="n">
        <v>0</v>
      </c>
      <c r="O28" s="11" t="n">
        <v>0</v>
      </c>
      <c r="P28" s="12">
        <f>SUM(C28:O28)</f>
        <v/>
      </c>
    </row>
    <row r="29">
      <c r="A29" s="9" t="n"/>
      <c r="B29" s="9" t="inlineStr">
        <is>
          <t>Credit Card Payments</t>
        </is>
      </c>
      <c r="C29" s="10" t="n">
        <v>0</v>
      </c>
      <c r="D29" s="10" t="n">
        <v>0</v>
      </c>
      <c r="E29" s="10" t="n">
        <v>18500</v>
      </c>
      <c r="F29" s="10" t="n">
        <v>0</v>
      </c>
      <c r="G29" s="11" t="n">
        <v>0</v>
      </c>
      <c r="H29" s="11" t="n">
        <v>0</v>
      </c>
      <c r="I29" s="11" t="n">
        <v>0</v>
      </c>
      <c r="J29" s="11" t="n">
        <v>19000</v>
      </c>
      <c r="K29" s="11" t="n">
        <v>0</v>
      </c>
      <c r="L29" s="11" t="n">
        <v>0</v>
      </c>
      <c r="M29" s="11" t="n">
        <v>0</v>
      </c>
      <c r="N29" s="11" t="n">
        <v>0</v>
      </c>
      <c r="O29" s="11" t="n">
        <v>18000</v>
      </c>
      <c r="P29" s="12">
        <f>SUM(C29:O29)</f>
        <v/>
      </c>
    </row>
    <row r="30">
      <c r="A30" s="9" t="n"/>
      <c r="B30" s="9" t="inlineStr">
        <is>
          <t>Owner Distributions</t>
        </is>
      </c>
      <c r="C30" s="10" t="n">
        <v>0</v>
      </c>
      <c r="D30" s="10" t="n">
        <v>0</v>
      </c>
      <c r="E30" s="10" t="n">
        <v>0</v>
      </c>
      <c r="F30" s="10" t="n">
        <v>15000</v>
      </c>
      <c r="G30" s="11" t="n">
        <v>0</v>
      </c>
      <c r="H30" s="11" t="n">
        <v>0</v>
      </c>
      <c r="I30" s="11" t="n">
        <v>0</v>
      </c>
      <c r="J30" s="11" t="n">
        <v>0</v>
      </c>
      <c r="K30" s="11" t="n">
        <v>15000</v>
      </c>
      <c r="L30" s="11" t="n">
        <v>0</v>
      </c>
      <c r="M30" s="11" t="n">
        <v>0</v>
      </c>
      <c r="N30" s="11" t="n">
        <v>0</v>
      </c>
      <c r="O30" s="11" t="n">
        <v>0</v>
      </c>
      <c r="P30" s="12">
        <f>SUM(C30:O30)</f>
        <v/>
      </c>
    </row>
    <row r="31">
      <c r="A31" s="13" t="n"/>
      <c r="B31" s="13" t="inlineStr">
        <is>
          <t>Total Cash Outflows</t>
        </is>
      </c>
      <c r="C31" s="14">
        <f>SUM(C18:C30)</f>
        <v/>
      </c>
      <c r="D31" s="14">
        <f>SUM(D18:D30)</f>
        <v/>
      </c>
      <c r="E31" s="14">
        <f>SUM(E18:E30)</f>
        <v/>
      </c>
      <c r="F31" s="14">
        <f>SUM(F18:F30)</f>
        <v/>
      </c>
      <c r="G31" s="14">
        <f>SUM(G18:G30)</f>
        <v/>
      </c>
      <c r="H31" s="14">
        <f>SUM(H18:H30)</f>
        <v/>
      </c>
      <c r="I31" s="14">
        <f>SUM(I18:I30)</f>
        <v/>
      </c>
      <c r="J31" s="14">
        <f>SUM(J18:J30)</f>
        <v/>
      </c>
      <c r="K31" s="14">
        <f>SUM(K18:K30)</f>
        <v/>
      </c>
      <c r="L31" s="14">
        <f>SUM(L18:L30)</f>
        <v/>
      </c>
      <c r="M31" s="14">
        <f>SUM(M18:M30)</f>
        <v/>
      </c>
      <c r="N31" s="14">
        <f>SUM(N18:N30)</f>
        <v/>
      </c>
      <c r="O31" s="14">
        <f>SUM(O18:O30)</f>
        <v/>
      </c>
      <c r="P31" s="14">
        <f>SUM(P18:P30)</f>
        <v/>
      </c>
    </row>
    <row r="33">
      <c r="A33" s="15" t="n"/>
      <c r="B33" s="16" t="inlineStr">
        <is>
          <t>Opening Cash Balance</t>
        </is>
      </c>
      <c r="C33" s="10" t="n">
        <v>287500</v>
      </c>
      <c r="D33" s="12">
        <f>C35</f>
        <v/>
      </c>
      <c r="E33" s="12">
        <f>D35</f>
        <v/>
      </c>
      <c r="F33" s="12">
        <f>E35</f>
        <v/>
      </c>
      <c r="G33" s="12">
        <f>F35</f>
        <v/>
      </c>
      <c r="H33" s="12">
        <f>G35</f>
        <v/>
      </c>
      <c r="I33" s="12">
        <f>H35</f>
        <v/>
      </c>
      <c r="J33" s="12">
        <f>I35</f>
        <v/>
      </c>
      <c r="K33" s="12">
        <f>J35</f>
        <v/>
      </c>
      <c r="L33" s="12">
        <f>K35</f>
        <v/>
      </c>
      <c r="M33" s="12">
        <f>L35</f>
        <v/>
      </c>
      <c r="N33" s="12">
        <f>M35</f>
        <v/>
      </c>
      <c r="O33" s="12">
        <f>N35</f>
        <v/>
      </c>
      <c r="P33" s="17" t="n"/>
    </row>
    <row r="34">
      <c r="A34" s="18" t="n"/>
      <c r="B34" s="19" t="inlineStr">
        <is>
          <t>Net Cash Flow</t>
        </is>
      </c>
      <c r="C34" s="20">
        <f>C15-C31</f>
        <v/>
      </c>
      <c r="D34" s="20">
        <f>D15-D31</f>
        <v/>
      </c>
      <c r="E34" s="20">
        <f>E15-E31</f>
        <v/>
      </c>
      <c r="F34" s="20">
        <f>F15-F31</f>
        <v/>
      </c>
      <c r="G34" s="20">
        <f>G15-G31</f>
        <v/>
      </c>
      <c r="H34" s="20">
        <f>H15-H31</f>
        <v/>
      </c>
      <c r="I34" s="20">
        <f>I15-I31</f>
        <v/>
      </c>
      <c r="J34" s="20">
        <f>J15-J31</f>
        <v/>
      </c>
      <c r="K34" s="20">
        <f>K15-K31</f>
        <v/>
      </c>
      <c r="L34" s="20">
        <f>L15-L31</f>
        <v/>
      </c>
      <c r="M34" s="20">
        <f>M15-M31</f>
        <v/>
      </c>
      <c r="N34" s="20">
        <f>N15-N31</f>
        <v/>
      </c>
      <c r="O34" s="20">
        <f>O15-O31</f>
        <v/>
      </c>
      <c r="P34" s="20">
        <f>P15-P31</f>
        <v/>
      </c>
    </row>
    <row r="35">
      <c r="A35" s="21" t="n"/>
      <c r="B35" s="22" t="inlineStr">
        <is>
          <t>Ending Cash Balance</t>
        </is>
      </c>
      <c r="C35" s="23">
        <f>C33+C34</f>
        <v/>
      </c>
      <c r="D35" s="23">
        <f>D33+D34</f>
        <v/>
      </c>
      <c r="E35" s="23">
        <f>E33+E34</f>
        <v/>
      </c>
      <c r="F35" s="23">
        <f>F33+F34</f>
        <v/>
      </c>
      <c r="G35" s="23">
        <f>G33+G34</f>
        <v/>
      </c>
      <c r="H35" s="23">
        <f>H33+H34</f>
        <v/>
      </c>
      <c r="I35" s="23">
        <f>I33+I34</f>
        <v/>
      </c>
      <c r="J35" s="23">
        <f>J33+J34</f>
        <v/>
      </c>
      <c r="K35" s="23">
        <f>K33+K34</f>
        <v/>
      </c>
      <c r="L35" s="23">
        <f>L33+L34</f>
        <v/>
      </c>
      <c r="M35" s="23">
        <f>M33+M34</f>
        <v/>
      </c>
      <c r="N35" s="23">
        <f>N33+N34</f>
        <v/>
      </c>
      <c r="O35" s="23">
        <f>O33+O34</f>
        <v/>
      </c>
      <c r="P35" s="23">
        <f>O35</f>
        <v/>
      </c>
    </row>
    <row r="37">
      <c r="A37" s="24" t="n"/>
      <c r="B37" s="9" t="inlineStr">
        <is>
          <t>LOC Limit</t>
        </is>
      </c>
      <c r="C37" s="11" t="n">
        <v>2000000</v>
      </c>
      <c r="D37" s="11" t="n">
        <v>2000000</v>
      </c>
      <c r="E37" s="11" t="n">
        <v>2000000</v>
      </c>
      <c r="F37" s="11" t="n">
        <v>2000000</v>
      </c>
      <c r="G37" s="11" t="n">
        <v>2000000</v>
      </c>
      <c r="H37" s="11" t="n">
        <v>2000000</v>
      </c>
      <c r="I37" s="11" t="n">
        <v>2000000</v>
      </c>
      <c r="J37" s="11" t="n">
        <v>2000000</v>
      </c>
      <c r="K37" s="11" t="n">
        <v>2000000</v>
      </c>
      <c r="L37" s="11" t="n">
        <v>2000000</v>
      </c>
      <c r="M37" s="11" t="n">
        <v>2000000</v>
      </c>
      <c r="N37" s="11" t="n">
        <v>2000000</v>
      </c>
      <c r="O37" s="11" t="n">
        <v>2000000</v>
      </c>
      <c r="P37" s="18" t="n"/>
    </row>
    <row r="38">
      <c r="A38" s="24" t="n"/>
      <c r="B38" s="9" t="inlineStr">
        <is>
          <t>LOC Drawn</t>
        </is>
      </c>
      <c r="C38" s="11" t="n">
        <v>350000</v>
      </c>
      <c r="D38" s="11" t="n">
        <v>350000</v>
      </c>
      <c r="E38" s="11" t="n">
        <v>350000</v>
      </c>
      <c r="F38" s="11" t="n">
        <v>350000</v>
      </c>
      <c r="G38" s="11" t="n">
        <v>350000</v>
      </c>
      <c r="H38" s="11" t="n">
        <v>350000</v>
      </c>
      <c r="I38" s="11" t="n">
        <v>350000</v>
      </c>
      <c r="J38" s="11" t="n">
        <v>350000</v>
      </c>
      <c r="K38" s="11" t="n">
        <v>350000</v>
      </c>
      <c r="L38" s="11" t="n">
        <v>350000</v>
      </c>
      <c r="M38" s="11" t="n">
        <v>350000</v>
      </c>
      <c r="N38" s="11" t="n">
        <v>350000</v>
      </c>
      <c r="O38" s="11" t="n">
        <v>350000</v>
      </c>
      <c r="P38" s="18" t="n"/>
    </row>
    <row r="39">
      <c r="A39" s="18" t="n"/>
      <c r="B39" s="19" t="inlineStr">
        <is>
          <t>LOC Available</t>
        </is>
      </c>
      <c r="C39" s="12">
        <f>C37-C38</f>
        <v/>
      </c>
      <c r="D39" s="12">
        <f>D37-D38</f>
        <v/>
      </c>
      <c r="E39" s="12">
        <f>E37-E38</f>
        <v/>
      </c>
      <c r="F39" s="12">
        <f>F37-F38</f>
        <v/>
      </c>
      <c r="G39" s="12">
        <f>G37-G38</f>
        <v/>
      </c>
      <c r="H39" s="12">
        <f>H37-H38</f>
        <v/>
      </c>
      <c r="I39" s="12">
        <f>I37-I38</f>
        <v/>
      </c>
      <c r="J39" s="12">
        <f>J37-J38</f>
        <v/>
      </c>
      <c r="K39" s="12">
        <f>K37-K38</f>
        <v/>
      </c>
      <c r="L39" s="12">
        <f>L37-L38</f>
        <v/>
      </c>
      <c r="M39" s="12">
        <f>M37-M38</f>
        <v/>
      </c>
      <c r="N39" s="12">
        <f>N37-N38</f>
        <v/>
      </c>
      <c r="O39" s="12">
        <f>O37-O38</f>
        <v/>
      </c>
      <c r="P39" s="18" t="n"/>
    </row>
    <row r="40">
      <c r="A40" s="21" t="n"/>
      <c r="B40" s="22" t="inlineStr">
        <is>
          <t>Effective Liquidity</t>
        </is>
      </c>
      <c r="C40" s="23">
        <f>C35+C39</f>
        <v/>
      </c>
      <c r="D40" s="23">
        <f>D35+D39</f>
        <v/>
      </c>
      <c r="E40" s="23">
        <f>E35+E39</f>
        <v/>
      </c>
      <c r="F40" s="23">
        <f>F35+F39</f>
        <v/>
      </c>
      <c r="G40" s="23">
        <f>G35+G39</f>
        <v/>
      </c>
      <c r="H40" s="23">
        <f>H35+H39</f>
        <v/>
      </c>
      <c r="I40" s="23">
        <f>I35+I39</f>
        <v/>
      </c>
      <c r="J40" s="23">
        <f>J35+J39</f>
        <v/>
      </c>
      <c r="K40" s="23">
        <f>K35+K39</f>
        <v/>
      </c>
      <c r="L40" s="23">
        <f>L35+L39</f>
        <v/>
      </c>
      <c r="M40" s="23">
        <f>M35+M39</f>
        <v/>
      </c>
      <c r="N40" s="23">
        <f>N35+N39</f>
        <v/>
      </c>
      <c r="O40" s="23">
        <f>O35+O39</f>
        <v/>
      </c>
      <c r="P40" s="23">
        <f>O40</f>
        <v/>
      </c>
    </row>
    <row r="42">
      <c r="A42" s="18" t="n"/>
      <c r="B42" s="19" t="inlineStr">
        <is>
          <t>Cumulative Net Cash Flow</t>
        </is>
      </c>
      <c r="C42" s="20">
        <f>SUM(C34:C34)</f>
        <v/>
      </c>
      <c r="D42" s="20">
        <f>SUM(C34:D34)</f>
        <v/>
      </c>
      <c r="E42" s="20">
        <f>SUM(C34:E34)</f>
        <v/>
      </c>
      <c r="F42" s="20">
        <f>SUM(C34:F34)</f>
        <v/>
      </c>
      <c r="G42" s="20">
        <f>SUM(C34:G34)</f>
        <v/>
      </c>
      <c r="H42" s="20">
        <f>SUM(C34:H34)</f>
        <v/>
      </c>
      <c r="I42" s="20">
        <f>SUM(C34:I34)</f>
        <v/>
      </c>
      <c r="J42" s="20">
        <f>SUM(C34:J34)</f>
        <v/>
      </c>
      <c r="K42" s="20">
        <f>SUM(C34:K34)</f>
        <v/>
      </c>
      <c r="L42" s="20">
        <f>SUM(C34:L34)</f>
        <v/>
      </c>
      <c r="M42" s="20">
        <f>SUM(C34:M34)</f>
        <v/>
      </c>
      <c r="N42" s="20">
        <f>SUM(C34:N34)</f>
        <v/>
      </c>
      <c r="O42" s="20">
        <f>SUM(C34:O34)</f>
        <v/>
      </c>
      <c r="P42" s="20">
        <f>O42</f>
        <v/>
      </c>
    </row>
    <row r="45">
      <c r="A45" s="25" t="inlineStr">
        <is>
          <t>KEY METRICS</t>
        </is>
      </c>
    </row>
    <row r="46">
      <c r="A46" s="9" t="inlineStr">
        <is>
          <t>Total 13-Week Cash Inflows</t>
        </is>
      </c>
      <c r="B46" s="12">
        <f>P15</f>
        <v/>
      </c>
    </row>
    <row r="47">
      <c r="A47" s="9" t="inlineStr">
        <is>
          <t>Total 13-Week Cash Outflows</t>
        </is>
      </c>
      <c r="B47" s="12">
        <f>P31</f>
        <v/>
      </c>
    </row>
    <row r="48">
      <c r="A48" s="9" t="inlineStr">
        <is>
          <t>13-Week Net Cash Flow</t>
        </is>
      </c>
      <c r="B48" s="20">
        <f>P34</f>
        <v/>
      </c>
    </row>
    <row r="49">
      <c r="A49" s="9" t="inlineStr">
        <is>
          <t>Ending Cash (Week 13)</t>
        </is>
      </c>
      <c r="B49" s="12">
        <f>O35</f>
        <v/>
      </c>
    </row>
    <row r="50">
      <c r="A50" s="9" t="inlineStr">
        <is>
          <t>Minimum Weekly Ending Cash</t>
        </is>
      </c>
      <c r="B50" s="12">
        <f>MIN(C35:O35)</f>
        <v/>
      </c>
    </row>
    <row r="51">
      <c r="A51" s="9" t="inlineStr">
        <is>
          <t>Maximum Weekly Ending Cash</t>
        </is>
      </c>
      <c r="B51" s="12">
        <f>MAX(C35:O35)</f>
        <v/>
      </c>
    </row>
    <row r="52">
      <c r="A52" s="9" t="inlineStr">
        <is>
          <t>Weeks Below Caution Threshold</t>
        </is>
      </c>
      <c r="B52" s="26">
        <f>COUNTIF(C35:O35,"&lt;100000")</f>
        <v/>
      </c>
    </row>
    <row r="53">
      <c r="A53" s="9" t="inlineStr">
        <is>
          <t>Effective Liquidity (Week 13)</t>
        </is>
      </c>
      <c r="B53" s="12">
        <f>O40</f>
        <v/>
      </c>
    </row>
  </sheetData>
  <mergeCells count="4">
    <mergeCell ref="A4:H4"/>
    <mergeCell ref="A3:H3"/>
    <mergeCell ref="A2:H2"/>
    <mergeCell ref="A1:H1"/>
  </mergeCells>
  <conditionalFormatting sqref="C35:O35">
    <cfRule type="cellIs" priority="1" operator="lessThan" dxfId="0">
      <formula>0</formula>
    </cfRule>
    <cfRule type="cellIs" priority="2" operator="lessThan" dxfId="1">
      <formula>50000</formula>
    </cfRule>
    <cfRule type="cellIs" priority="3" operator="lessThan" dxfId="2">
      <formula>100000</formula>
    </cfRule>
  </conditionalFormatting>
  <conditionalFormatting sqref="C34:O34">
    <cfRule type="cellIs" priority="4" operator="lessThan" dxfId="3">
      <formula>0</formula>
    </cfRule>
  </conditionalFormatting>
  <conditionalFormatting sqref="C40:O40">
    <cfRule type="cellIs" priority="5" operator="lessThan" dxfId="0">
      <formula>50000</formula>
    </cfRule>
  </conditionalFormatting>
  <pageMargins left="0.75" right="0.75" top="1" bottom="1" header="0.5" footer="0.5"/>
  <pageSetup orientation="landscape" fitToHeight="0" fitToWidth="1"/>
  <headerFooter>
    <oddHeader/>
    <oddFooter>&amp;CPage &amp;P of &amp;N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tabColor rgb="00e5e7eb"/>
    <outlinePr summaryBelow="1" summaryRight="1"/>
    <pageSetUpPr/>
  </sheetPr>
  <dimension ref="A1:B4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0" customWidth="1" min="1" max="1"/>
    <col width="55" customWidth="1" min="2" max="2"/>
  </cols>
  <sheetData>
    <row r="1">
      <c r="A1" s="1" t="inlineStr">
        <is>
          <t>Cash Flow Forecast — Assumptions</t>
        </is>
      </c>
    </row>
    <row r="2">
      <c r="A2" s="27" t="inlineStr">
        <is>
          <t>All inputs and assumption bases documented here for audit trail.</t>
        </is>
      </c>
    </row>
    <row r="4">
      <c r="A4" s="28" t="inlineStr">
        <is>
          <t>GENERAL PARAMETERS</t>
        </is>
      </c>
    </row>
    <row r="5">
      <c r="A5" s="29" t="inlineStr">
        <is>
          <t>Report Date</t>
        </is>
      </c>
      <c r="B5" s="30" t="inlineStr">
        <is>
          <t>March 31, 2026</t>
        </is>
      </c>
    </row>
    <row r="6">
      <c r="A6" s="29" t="inlineStr">
        <is>
          <t>Forecast Start (W1)</t>
        </is>
      </c>
      <c r="B6" s="30" t="inlineStr">
        <is>
          <t>03/30/2026</t>
        </is>
      </c>
    </row>
    <row r="7">
      <c r="A7" s="29" t="inlineStr">
        <is>
          <t>Opening Cash Balance</t>
        </is>
      </c>
      <c r="B7" s="30" t="inlineStr">
        <is>
          <t>$287,500</t>
        </is>
      </c>
    </row>
    <row r="8">
      <c r="A8" s="29" t="inlineStr">
        <is>
          <t>Opening Cash Source</t>
        </is>
      </c>
      <c r="B8" s="30" t="inlineStr">
        <is>
          <t>QBO — Main Operating Account (ACB&amp;T Checking)</t>
        </is>
      </c>
    </row>
    <row r="9">
      <c r="A9" s="29" t="inlineStr">
        <is>
          <t>Danger Threshold (Red)</t>
        </is>
      </c>
      <c r="B9" s="30" t="inlineStr">
        <is>
          <t>$50,000</t>
        </is>
      </c>
    </row>
    <row r="10">
      <c r="A10" s="29" t="inlineStr">
        <is>
          <t>Caution Threshold (Orange)</t>
        </is>
      </c>
      <c r="B10" s="30" t="inlineStr">
        <is>
          <t>$100,000</t>
        </is>
      </c>
    </row>
    <row r="12">
      <c r="A12" s="28" t="inlineStr">
        <is>
          <t>LINE OF CREDIT TERMS</t>
        </is>
      </c>
    </row>
    <row r="13">
      <c r="A13" s="29" t="inlineStr">
        <is>
          <t>LOC Limit</t>
        </is>
      </c>
      <c r="B13" s="30" t="inlineStr">
        <is>
          <t>$2,000,000</t>
        </is>
      </c>
    </row>
    <row r="14">
      <c r="A14" s="29" t="inlineStr">
        <is>
          <t>LOC Drawn (Current)</t>
        </is>
      </c>
      <c r="B14" s="30" t="inlineStr">
        <is>
          <t>$350,000</t>
        </is>
      </c>
    </row>
    <row r="15">
      <c r="A15" s="29" t="inlineStr">
        <is>
          <t>Advance Rate</t>
        </is>
      </c>
      <c r="B15" s="30" t="inlineStr">
        <is>
          <t>80%</t>
        </is>
      </c>
    </row>
    <row r="16">
      <c r="A16" s="29" t="inlineStr">
        <is>
          <t>Eligible AR</t>
        </is>
      </c>
      <c r="B16" s="30" t="inlineStr">
        <is>
          <t>$1,850,000</t>
        </is>
      </c>
    </row>
    <row r="18">
      <c r="A18" s="28" t="inlineStr">
        <is>
          <t>AR COLLECTION SOURCES</t>
        </is>
      </c>
    </row>
    <row r="19">
      <c r="A19" s="29" t="inlineStr">
        <is>
          <t>AR — Westfield School District</t>
        </is>
      </c>
      <c r="B19" s="29" t="inlineStr">
        <is>
          <t>13-week total: $590,000 (9 assumed weeks)</t>
        </is>
      </c>
    </row>
    <row r="20">
      <c r="A20" s="29" t="inlineStr">
        <is>
          <t>AR — Riverside Health Partners</t>
        </is>
      </c>
      <c r="B20" s="29" t="inlineStr">
        <is>
          <t>13-week total: $400,000 (9 assumed weeks)</t>
        </is>
      </c>
    </row>
    <row r="21">
      <c r="A21" s="29" t="inlineStr">
        <is>
          <t>AR — Metro Development Group</t>
        </is>
      </c>
      <c r="B21" s="29" t="inlineStr">
        <is>
          <t>13-week total: $183,000 (10 assumed weeks)</t>
        </is>
      </c>
    </row>
    <row r="22">
      <c r="A22" s="29" t="inlineStr">
        <is>
          <t>AR — Harbor Point Partners</t>
        </is>
      </c>
      <c r="B22" s="29" t="inlineStr">
        <is>
          <t>13-week total: $155,000 (11 assumed weeks)</t>
        </is>
      </c>
    </row>
    <row r="23">
      <c r="A23" s="29" t="inlineStr">
        <is>
          <t>AR — All Other Customers</t>
        </is>
      </c>
      <c r="B23" s="29" t="inlineStr">
        <is>
          <t>13-week total: $143,700 (11 assumed weeks)</t>
        </is>
      </c>
    </row>
    <row r="25">
      <c r="A25" s="28" t="inlineStr">
        <is>
          <t>OUTFLOW CATEGORIES</t>
        </is>
      </c>
    </row>
    <row r="26">
      <c r="A26" s="29" t="inlineStr">
        <is>
          <t>Payroll + Burden</t>
        </is>
      </c>
      <c r="B26" s="29" t="inlineStr">
        <is>
          <t>13-week total: $1,020,000 (11 assumed weeks)</t>
        </is>
      </c>
    </row>
    <row r="27">
      <c r="A27" s="29" t="inlineStr">
        <is>
          <t>Payroll Taxes</t>
        </is>
      </c>
      <c r="B27" s="29" t="inlineStr">
        <is>
          <t>13-week total: $204,000 (11 assumed weeks)</t>
        </is>
      </c>
    </row>
    <row r="28">
      <c r="A28" s="29" t="inlineStr">
        <is>
          <t>Subcontractors</t>
        </is>
      </c>
      <c r="B28" s="29" t="inlineStr">
        <is>
          <t>13-week total: $431,000 (0 assumed weeks)</t>
        </is>
      </c>
    </row>
    <row r="29">
      <c r="A29" s="29" t="inlineStr">
        <is>
          <t>Materials</t>
        </is>
      </c>
      <c r="B29" s="29" t="inlineStr">
        <is>
          <t>13-week total: $295,500 (11 assumed weeks)</t>
        </is>
      </c>
    </row>
    <row r="30">
      <c r="A30" s="29" t="inlineStr">
        <is>
          <t>Equipment Leases/Rentals</t>
        </is>
      </c>
      <c r="B30" s="29" t="inlineStr">
        <is>
          <t>13-week total: $42,500 (0 assumed weeks)</t>
        </is>
      </c>
    </row>
    <row r="31">
      <c r="A31" s="29" t="inlineStr">
        <is>
          <t>Rent</t>
        </is>
      </c>
      <c r="B31" s="29" t="inlineStr">
        <is>
          <t>13-week total: $48,000 (9 assumed weeks)</t>
        </is>
      </c>
    </row>
    <row r="32">
      <c r="A32" s="29" t="inlineStr">
        <is>
          <t>Insurance Premiums</t>
        </is>
      </c>
      <c r="B32" s="29" t="inlineStr">
        <is>
          <t>13-week total: $20,400 (9 assumed weeks)</t>
        </is>
      </c>
    </row>
    <row r="33">
      <c r="A33" s="29" t="inlineStr">
        <is>
          <t>Utilities</t>
        </is>
      </c>
      <c r="B33" s="29" t="inlineStr">
        <is>
          <t>13-week total: $8,800 (9 assumed weeks)</t>
        </is>
      </c>
    </row>
    <row r="34">
      <c r="A34" s="29" t="inlineStr">
        <is>
          <t>Professional Services</t>
        </is>
      </c>
      <c r="B34" s="29" t="inlineStr">
        <is>
          <t>13-week total: $20,000 (9 assumed weeks)</t>
        </is>
      </c>
    </row>
    <row r="35">
      <c r="A35" s="29" t="inlineStr">
        <is>
          <t>Vehicle Payments</t>
        </is>
      </c>
      <c r="B35" s="29" t="inlineStr">
        <is>
          <t>13-week total: $9,600 (9 assumed weeks)</t>
        </is>
      </c>
    </row>
    <row r="36">
      <c r="A36" s="29" t="inlineStr">
        <is>
          <t>Debt Service</t>
        </is>
      </c>
      <c r="B36" s="29" t="inlineStr">
        <is>
          <t>13-week total: $13,500 (9 assumed weeks)</t>
        </is>
      </c>
    </row>
    <row r="37">
      <c r="A37" s="29" t="inlineStr">
        <is>
          <t>Credit Card Payments</t>
        </is>
      </c>
      <c r="B37" s="29" t="inlineStr">
        <is>
          <t>13-week total: $55,500 (9 assumed weeks)</t>
        </is>
      </c>
    </row>
    <row r="38">
      <c r="A38" s="29" t="inlineStr">
        <is>
          <t>Owner Distributions</t>
        </is>
      </c>
      <c r="B38" s="29" t="inlineStr">
        <is>
          <t>13-week total: $30,000 (9 assumed weeks)</t>
        </is>
      </c>
    </row>
    <row r="41">
      <c r="A41" s="28" t="inlineStr">
        <is>
          <t>VISUAL LEGEND</t>
        </is>
      </c>
    </row>
    <row r="42">
      <c r="A42" s="29" t="inlineStr">
        <is>
          <t>White background</t>
        </is>
      </c>
      <c r="B42" s="31" t="inlineStr">
        <is>
          <t>Actual QBO data — a real transaction exists</t>
        </is>
      </c>
    </row>
    <row r="43">
      <c r="A43" s="32" t="inlineStr">
        <is>
          <t>Light teal background</t>
        </is>
      </c>
      <c r="B43" s="31" t="inlineStr">
        <is>
          <t>Assumption/projected — no QBO transaction yet</t>
        </is>
      </c>
    </row>
    <row r="44">
      <c r="A44" s="29" t="inlineStr">
        <is>
          <t>Red text</t>
        </is>
      </c>
      <c r="B44" s="31" t="inlineStr">
        <is>
          <t>Ending cash below danger threshold</t>
        </is>
      </c>
    </row>
    <row r="45">
      <c r="A45" s="29" t="inlineStr">
        <is>
          <t>Orange text</t>
        </is>
      </c>
      <c r="B45" s="31" t="inlineStr">
        <is>
          <t>Ending cash below caution threshold</t>
        </is>
      </c>
    </row>
    <row r="46">
      <c r="A46" s="29" t="inlineStr">
        <is>
          <t>Red background</t>
        </is>
      </c>
      <c r="B46" s="31" t="inlineStr">
        <is>
          <t>Negative ending cash — crisis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e5e7eb"/>
    <outlinePr summaryBelow="1" summaryRight="1"/>
    <pageSetUpPr/>
  </sheetPr>
  <dimension ref="A1:D11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0" customWidth="1" min="1" max="1"/>
    <col width="45" customWidth="1" min="2" max="2"/>
    <col width="18" customWidth="1" min="3" max="3"/>
    <col width="22" customWidth="1" min="4" max="4"/>
  </cols>
  <sheetData>
    <row r="1">
      <c r="A1" s="1" t="inlineStr">
        <is>
          <t>Scenario Analysis</t>
        </is>
      </c>
    </row>
    <row r="2">
      <c r="A2" s="27" t="inlineStr">
        <is>
          <t>Compare ending cash under different collection and payment timing assumptions.</t>
        </is>
      </c>
    </row>
    <row r="4">
      <c r="A4" s="33" t="inlineStr">
        <is>
          <t>Scenario</t>
        </is>
      </c>
      <c r="B4" s="33" t="inlineStr">
        <is>
          <t>Description</t>
        </is>
      </c>
      <c r="C4" s="33" t="inlineStr">
        <is>
          <t>AR Shift (days)</t>
        </is>
      </c>
      <c r="D4" s="33" t="inlineStr">
        <is>
          <t>Outflow Shift (weeks)</t>
        </is>
      </c>
    </row>
    <row r="5">
      <c r="A5" s="24" t="inlineStr">
        <is>
          <t>Best Case</t>
        </is>
      </c>
      <c r="B5" s="24" t="inlineStr">
        <is>
          <t>Collections at contractual terms (no DSO variance), discretionary outflows delayed 2 weeks</t>
        </is>
      </c>
      <c r="C5" s="34" t="n">
        <v>-10</v>
      </c>
      <c r="D5" s="34" t="n">
        <v>2</v>
      </c>
    </row>
    <row r="6">
      <c r="A6" s="24" t="inlineStr">
        <is>
          <t>Base Case</t>
        </is>
      </c>
      <c r="B6" s="24" t="inlineStr">
        <is>
          <t>Collections at actual DSO (weighted average), all payments on schedule</t>
        </is>
      </c>
      <c r="C6" s="34" t="n">
        <v>0</v>
      </c>
      <c r="D6" s="34" t="n">
        <v>0</v>
      </c>
    </row>
    <row r="7">
      <c r="A7" s="24" t="inlineStr">
        <is>
          <t>Worst Case</t>
        </is>
      </c>
      <c r="B7" s="24" t="inlineStr">
        <is>
          <t>Collections at actual DSO + 15 days, all payables accelerated by 1 week</t>
        </is>
      </c>
      <c r="C7" s="34" t="n">
        <v>15</v>
      </c>
      <c r="D7" s="34" t="n">
        <v>-1</v>
      </c>
    </row>
    <row r="9">
      <c r="A9" s="3" t="inlineStr">
        <is>
          <t>Note: Scenarios are modeled by shifting AR collection dates and outflow timing.</t>
        </is>
      </c>
    </row>
    <row r="10">
      <c r="A10" s="3" t="inlineStr">
        <is>
          <t>Best Case = faster collections + delayed discretionary outflows.</t>
        </is>
      </c>
    </row>
    <row r="11">
      <c r="A11" s="3" t="inlineStr">
        <is>
          <t>Worst Case = slower collections + accelerated payables.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1404 Labs</dc:creator>
  <dc:title xmlns:dc="http://purl.org/dc/elements/1.1/">13-Week Cash Flow Forecast</dc:title>
  <dcterms:created xmlns:dcterms="http://purl.org/dc/terms/" xmlns:xsi="http://www.w3.org/2001/XMLSchema-instance" xsi:type="dcterms:W3CDTF">2026-04-12T19:11:02Z</dcterms:created>
  <dcterms:modified xmlns:dcterms="http://purl.org/dc/terms/" xmlns:xsi="http://www.w3.org/2001/XMLSchema-instance" xsi:type="dcterms:W3CDTF">2026-04-12T19:11:02Z</dcterms:modified>
</cp:coreProperties>
</file>