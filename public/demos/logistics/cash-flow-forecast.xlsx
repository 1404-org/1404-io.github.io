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SM Cash Flow" sheetId="1" state="visible" r:id="rId1"/>
    <sheet xmlns:r="http://schemas.openxmlformats.org/officeDocument/2006/relationships" name="OSM By Entity" sheetId="2" state="visible" r:id="rId2"/>
    <sheet xmlns:r="http://schemas.openxmlformats.org/officeDocument/2006/relationships" name="OSM Assumptions" sheetId="3" state="visible" r:id="rId3"/>
  </sheets>
  <definedNames>
    <definedName name="_xlnm.Print_Titles" localSheetId="0">'OSM Cash Flow'!$1:$1</definedName>
    <definedName name="_xlnm.Print_Titles" localSheetId="1">'OSM By Entity'!$1:$1</definedName>
    <definedName name="_xlnm.Print_Titles" localSheetId="2">'OSM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_);_($* (#,##0);_($* &quot;-&quot;_)"/>
    <numFmt numFmtId="165" formatCode="$#,##0"/>
  </numFmts>
  <fonts count="12">
    <font>
      <name val="Calibri"/>
      <family val="2"/>
      <color theme="1"/>
      <sz val="11"/>
      <scheme val="minor"/>
    </font>
    <font>
      <name val="Inter"/>
      <b val="1"/>
      <color rgb="00FFFFFF"/>
      <sz val="9"/>
    </font>
    <font>
      <name val="Inter"/>
      <b val="1"/>
      <sz val="10"/>
    </font>
    <font>
      <name val="Inter"/>
      <color rgb="000000FF"/>
      <sz val="10"/>
    </font>
    <font>
      <name val="Inter"/>
      <color rgb="00000000"/>
      <sz val="10"/>
    </font>
    <font>
      <name val="Inter"/>
      <b val="1"/>
      <sz val="11"/>
    </font>
    <font>
      <name val="Inter"/>
      <sz val="10"/>
    </font>
    <font>
      <name val="Inter"/>
      <b val="1"/>
      <color rgb="00059669"/>
      <sz val="10"/>
    </font>
    <font>
      <name val="Inter"/>
      <color rgb="009a948c"/>
      <sz val="9"/>
    </font>
    <font>
      <name val="Calibri"/>
      <b val="1"/>
      <color rgb="00111010"/>
      <sz val="14"/>
    </font>
    <font>
      <name val="Calibri"/>
      <b val="1"/>
      <color rgb="00111010"/>
      <sz val="11"/>
    </font>
    <font>
      <name val="Calibri"/>
      <color rgb="009a948c"/>
      <sz val="10"/>
    </font>
  </fonts>
  <fills count="5">
    <fill>
      <patternFill/>
    </fill>
    <fill>
      <patternFill patternType="gray125"/>
    </fill>
    <fill>
      <patternFill patternType="solid">
        <fgColor rgb="00111010"/>
      </patternFill>
    </fill>
    <fill>
      <patternFill patternType="solid">
        <fgColor rgb="00DAEEF3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3" fillId="3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0" fontId="5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left" vertical="center" wrapText="1"/>
    </xf>
    <xf numFmtId="164" fontId="7" fillId="0" borderId="2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165" fontId="3" fillId="3" borderId="0" applyAlignment="1" pivotButton="0" quotePrefix="0" xfId="0">
      <alignment horizontal="right" vertical="center" wrapText="1"/>
    </xf>
    <xf numFmtId="1" fontId="3" fillId="3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1010"/>
    <outlinePr summaryBelow="1" summaryRight="1"/>
    <pageSetUpPr/>
  </sheetPr>
  <dimension ref="A1:O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>
      <c r="A1" s="1" t="inlineStr">
        <is>
          <t>Description</t>
        </is>
      </c>
      <c r="B1" s="1" t="inlineStr">
        <is>
          <t>04/07/2026</t>
        </is>
      </c>
      <c r="C1" s="1" t="inlineStr">
        <is>
          <t>04/14/2026</t>
        </is>
      </c>
      <c r="D1" s="1" t="inlineStr">
        <is>
          <t>04/21/2026</t>
        </is>
      </c>
      <c r="E1" s="1" t="inlineStr">
        <is>
          <t>04/28/2026</t>
        </is>
      </c>
      <c r="F1" s="1" t="inlineStr">
        <is>
          <t>05/05/2026</t>
        </is>
      </c>
      <c r="G1" s="1" t="inlineStr">
        <is>
          <t>05/12/2026</t>
        </is>
      </c>
      <c r="H1" s="1" t="inlineStr">
        <is>
          <t>05/19/2026</t>
        </is>
      </c>
      <c r="I1" s="1" t="inlineStr">
        <is>
          <t>05/26/2026</t>
        </is>
      </c>
      <c r="J1" s="1" t="inlineStr">
        <is>
          <t>06/02/2026</t>
        </is>
      </c>
      <c r="K1" s="1" t="inlineStr">
        <is>
          <t>06/09/2026</t>
        </is>
      </c>
      <c r="L1" s="1" t="inlineStr">
        <is>
          <t>06/16/2026</t>
        </is>
      </c>
      <c r="M1" s="1" t="inlineStr">
        <is>
          <t>06/23/2026</t>
        </is>
      </c>
      <c r="N1" s="1" t="inlineStr">
        <is>
          <t>06/30/2026</t>
        </is>
      </c>
      <c r="O1" s="1" t="inlineStr">
        <is>
          <t>Total</t>
        </is>
      </c>
    </row>
    <row r="2">
      <c r="A2" s="2" t="inlineStr">
        <is>
          <t>Opening Cash</t>
        </is>
      </c>
      <c r="B2" s="3" t="n">
        <v>8200000</v>
      </c>
      <c r="C2" s="4">
        <f>B24</f>
        <v/>
      </c>
      <c r="D2" s="4">
        <f>C24</f>
        <v/>
      </c>
      <c r="E2" s="4">
        <f>D24</f>
        <v/>
      </c>
      <c r="F2" s="4">
        <f>E24</f>
        <v/>
      </c>
      <c r="G2" s="4">
        <f>F24</f>
        <v/>
      </c>
      <c r="H2" s="4">
        <f>G24</f>
        <v/>
      </c>
      <c r="I2" s="4">
        <f>H24</f>
        <v/>
      </c>
      <c r="J2" s="4">
        <f>I24</f>
        <v/>
      </c>
      <c r="K2" s="4">
        <f>J24</f>
        <v/>
      </c>
      <c r="L2" s="4">
        <f>K24</f>
        <v/>
      </c>
      <c r="M2" s="4">
        <f>L24</f>
        <v/>
      </c>
      <c r="N2" s="4">
        <f>M24</f>
        <v/>
      </c>
    </row>
    <row r="3" ht="6" customHeight="1"/>
    <row r="4">
      <c r="A4" s="5" t="inlineStr">
        <is>
          <t>INFLOWS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>
      <c r="A5" s="7" t="inlineStr">
        <is>
          <t>Customer Collections (Net-30)</t>
        </is>
      </c>
      <c r="B5" s="3" t="n">
        <v>2150000</v>
      </c>
      <c r="C5" s="3" t="n">
        <v>2280000</v>
      </c>
      <c r="D5" s="3" t="n">
        <v>2100000</v>
      </c>
      <c r="E5" s="3" t="n">
        <v>2350000</v>
      </c>
      <c r="F5" s="3" t="n">
        <v>2200000</v>
      </c>
      <c r="G5" s="3" t="n">
        <v>2400000</v>
      </c>
      <c r="H5" s="3" t="n">
        <v>2180000</v>
      </c>
      <c r="I5" s="3" t="n">
        <v>2320000</v>
      </c>
      <c r="J5" s="3" t="n">
        <v>2250000</v>
      </c>
      <c r="K5" s="3" t="n">
        <v>2500000</v>
      </c>
      <c r="L5" s="3" t="n">
        <v>2300000</v>
      </c>
      <c r="M5" s="3" t="n">
        <v>2450000</v>
      </c>
      <c r="N5" s="3" t="n">
        <v>2280000</v>
      </c>
      <c r="O5" s="4">
        <f>SUM(B5:N5)</f>
        <v/>
      </c>
    </row>
    <row r="6">
      <c r="A6" s="7" t="inlineStr">
        <is>
          <t>Expedited Shipping Surcharges</t>
        </is>
      </c>
      <c r="B6" s="3" t="n">
        <v>180000</v>
      </c>
      <c r="C6" s="3" t="n">
        <v>165000</v>
      </c>
      <c r="D6" s="3" t="n">
        <v>190000</v>
      </c>
      <c r="E6" s="3" t="n">
        <v>175000</v>
      </c>
      <c r="F6" s="3" t="n">
        <v>185000</v>
      </c>
      <c r="G6" s="3" t="n">
        <v>170000</v>
      </c>
      <c r="H6" s="3" t="n">
        <v>195000</v>
      </c>
      <c r="I6" s="3" t="n">
        <v>180000</v>
      </c>
      <c r="J6" s="3" t="n">
        <v>190000</v>
      </c>
      <c r="K6" s="3" t="n">
        <v>175000</v>
      </c>
      <c r="L6" s="3" t="n">
        <v>200000</v>
      </c>
      <c r="M6" s="3" t="n">
        <v>185000</v>
      </c>
      <c r="N6" s="3" t="n">
        <v>190000</v>
      </c>
      <c r="O6" s="4">
        <f>SUM(B6:N6)</f>
        <v/>
      </c>
    </row>
    <row r="7">
      <c r="A7" s="7" t="inlineStr">
        <is>
          <t>Fuel Surcharge Pass-Through</t>
        </is>
      </c>
      <c r="B7" s="3" t="n">
        <v>95000</v>
      </c>
      <c r="C7" s="3" t="n">
        <v>88000</v>
      </c>
      <c r="D7" s="3" t="n">
        <v>92000</v>
      </c>
      <c r="E7" s="3" t="n">
        <v>90000</v>
      </c>
      <c r="F7" s="3" t="n">
        <v>93000</v>
      </c>
      <c r="G7" s="3" t="n">
        <v>87000</v>
      </c>
      <c r="H7" s="3" t="n">
        <v>96000</v>
      </c>
      <c r="I7" s="3" t="n">
        <v>91000</v>
      </c>
      <c r="J7" s="3" t="n">
        <v>94000</v>
      </c>
      <c r="K7" s="3" t="n">
        <v>89000</v>
      </c>
      <c r="L7" s="3" t="n">
        <v>97000</v>
      </c>
      <c r="M7" s="3" t="n">
        <v>92000</v>
      </c>
      <c r="N7" s="3" t="n">
        <v>95000</v>
      </c>
      <c r="O7" s="4">
        <f>SUM(B7:N7)</f>
        <v/>
      </c>
    </row>
    <row r="8">
      <c r="A8" s="7" t="inlineStr">
        <is>
          <t>Other Revenue (Insurance Claims, Credits)</t>
        </is>
      </c>
      <c r="B8" s="3" t="n">
        <v>15000</v>
      </c>
      <c r="C8" s="3" t="n">
        <v>0</v>
      </c>
      <c r="D8" s="3" t="n">
        <v>8000</v>
      </c>
      <c r="E8" s="3" t="n">
        <v>0</v>
      </c>
      <c r="F8" s="3" t="n">
        <v>12000</v>
      </c>
      <c r="G8" s="3" t="n">
        <v>0</v>
      </c>
      <c r="H8" s="3" t="n">
        <v>10000</v>
      </c>
      <c r="I8" s="3" t="n">
        <v>0</v>
      </c>
      <c r="J8" s="3" t="n">
        <v>15000</v>
      </c>
      <c r="K8" s="3" t="n">
        <v>0</v>
      </c>
      <c r="L8" s="3" t="n">
        <v>8000</v>
      </c>
      <c r="M8" s="3" t="n">
        <v>0</v>
      </c>
      <c r="N8" s="3" t="n">
        <v>12000</v>
      </c>
      <c r="O8" s="4">
        <f>SUM(B8:N8)</f>
        <v/>
      </c>
    </row>
    <row r="9">
      <c r="A9" s="2" t="inlineStr">
        <is>
          <t>Total Inflows</t>
        </is>
      </c>
      <c r="B9" s="8">
        <f>B5+B6+B7+B8</f>
        <v/>
      </c>
      <c r="C9" s="8">
        <f>C5+C6+C7+C8</f>
        <v/>
      </c>
      <c r="D9" s="8">
        <f>D5+D6+D7+D8</f>
        <v/>
      </c>
      <c r="E9" s="8">
        <f>E5+E6+E7+E8</f>
        <v/>
      </c>
      <c r="F9" s="8">
        <f>F5+F6+F7+F8</f>
        <v/>
      </c>
      <c r="G9" s="8">
        <f>G5+G6+G7+G8</f>
        <v/>
      </c>
      <c r="H9" s="8">
        <f>H5+H6+H7+H8</f>
        <v/>
      </c>
      <c r="I9" s="8">
        <f>I5+I6+I7+I8</f>
        <v/>
      </c>
      <c r="J9" s="8">
        <f>J5+J6+J7+J8</f>
        <v/>
      </c>
      <c r="K9" s="8">
        <f>K5+K6+K7+K8</f>
        <v/>
      </c>
      <c r="L9" s="8">
        <f>L5+L6+L7+L8</f>
        <v/>
      </c>
      <c r="M9" s="8">
        <f>M5+M6+M7+M8</f>
        <v/>
      </c>
      <c r="N9" s="8">
        <f>N5+N6+N7+N8</f>
        <v/>
      </c>
      <c r="O9" s="8">
        <f>O5+O6+O7+O8</f>
        <v/>
      </c>
    </row>
    <row r="10" ht="6" customHeight="1"/>
    <row r="11">
      <c r="A11" s="5" t="inlineStr">
        <is>
          <t>OUTFLOWS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Carrier Settlements (Weekly)</t>
        </is>
      </c>
      <c r="B12" s="3" t="n">
        <v>1380000</v>
      </c>
      <c r="C12" s="3" t="n">
        <v>1420000</v>
      </c>
      <c r="D12" s="3" t="n">
        <v>1350000</v>
      </c>
      <c r="E12" s="3" t="n">
        <v>1400000</v>
      </c>
      <c r="F12" s="3" t="n">
        <v>1390000</v>
      </c>
      <c r="G12" s="3" t="n">
        <v>1440000</v>
      </c>
      <c r="H12" s="3" t="n">
        <v>1370000</v>
      </c>
      <c r="I12" s="3" t="n">
        <v>1410000</v>
      </c>
      <c r="J12" s="3" t="n">
        <v>1400000</v>
      </c>
      <c r="K12" s="3" t="n">
        <v>1450000</v>
      </c>
      <c r="L12" s="3" t="n">
        <v>1380000</v>
      </c>
      <c r="M12" s="3" t="n">
        <v>1430000</v>
      </c>
      <c r="N12" s="3" t="n">
        <v>1390000</v>
      </c>
      <c r="O12" s="4">
        <f>SUM(B12:N12)</f>
        <v/>
      </c>
    </row>
    <row r="13">
      <c r="A13" s="7" t="inlineStr">
        <is>
          <t>Payroll &amp; Benefits (Bi-Weekly)</t>
        </is>
      </c>
      <c r="B13" s="3" t="n">
        <v>520000</v>
      </c>
      <c r="C13" s="3" t="n">
        <v>0</v>
      </c>
      <c r="D13" s="3" t="n">
        <v>520000</v>
      </c>
      <c r="E13" s="3" t="n">
        <v>0</v>
      </c>
      <c r="F13" s="3" t="n">
        <v>530000</v>
      </c>
      <c r="G13" s="3" t="n">
        <v>0</v>
      </c>
      <c r="H13" s="3" t="n">
        <v>530000</v>
      </c>
      <c r="I13" s="3" t="n">
        <v>0</v>
      </c>
      <c r="J13" s="3" t="n">
        <v>540000</v>
      </c>
      <c r="K13" s="3" t="n">
        <v>0</v>
      </c>
      <c r="L13" s="3" t="n">
        <v>540000</v>
      </c>
      <c r="M13" s="3" t="n">
        <v>0</v>
      </c>
      <c r="N13" s="3" t="n">
        <v>540000</v>
      </c>
      <c r="O13" s="4">
        <f>SUM(B13:N13)</f>
        <v/>
      </c>
    </row>
    <row r="14">
      <c r="A14" s="7" t="inlineStr">
        <is>
          <t>Facility Lease Payments (Monthly)</t>
        </is>
      </c>
      <c r="B14" s="3" t="n">
        <v>385000</v>
      </c>
      <c r="C14" s="3" t="n">
        <v>0</v>
      </c>
      <c r="D14" s="3" t="n">
        <v>0</v>
      </c>
      <c r="E14" s="3" t="n">
        <v>0</v>
      </c>
      <c r="F14" s="3" t="n">
        <v>385000</v>
      </c>
      <c r="G14" s="3" t="n">
        <v>0</v>
      </c>
      <c r="H14" s="3" t="n">
        <v>0</v>
      </c>
      <c r="I14" s="3" t="n">
        <v>0</v>
      </c>
      <c r="J14" s="3" t="n">
        <v>385000</v>
      </c>
      <c r="K14" s="3" t="n">
        <v>0</v>
      </c>
      <c r="L14" s="3" t="n">
        <v>0</v>
      </c>
      <c r="M14" s="3" t="n">
        <v>0</v>
      </c>
      <c r="N14" s="3" t="n">
        <v>0</v>
      </c>
      <c r="O14" s="4">
        <f>SUM(B14:N14)</f>
        <v/>
      </c>
    </row>
    <row r="15">
      <c r="A15" s="7" t="inlineStr">
        <is>
          <t>Technology &amp; Software</t>
        </is>
      </c>
      <c r="B15" s="3" t="n">
        <v>42000</v>
      </c>
      <c r="C15" s="3" t="n">
        <v>12000</v>
      </c>
      <c r="D15" s="3" t="n">
        <v>15000</v>
      </c>
      <c r="E15" s="3" t="n">
        <v>10000</v>
      </c>
      <c r="F15" s="3" t="n">
        <v>42000</v>
      </c>
      <c r="G15" s="3" t="n">
        <v>12000</v>
      </c>
      <c r="H15" s="3" t="n">
        <v>15000</v>
      </c>
      <c r="I15" s="3" t="n">
        <v>10000</v>
      </c>
      <c r="J15" s="3" t="n">
        <v>42000</v>
      </c>
      <c r="K15" s="3" t="n">
        <v>12000</v>
      </c>
      <c r="L15" s="3" t="n">
        <v>15000</v>
      </c>
      <c r="M15" s="3" t="n">
        <v>10000</v>
      </c>
      <c r="N15" s="3" t="n">
        <v>42000</v>
      </c>
      <c r="O15" s="4">
        <f>SUM(B15:N15)</f>
        <v/>
      </c>
    </row>
    <row r="16">
      <c r="A16" s="7" t="inlineStr">
        <is>
          <t>Insurance Premiums</t>
        </is>
      </c>
      <c r="B16" s="3" t="n">
        <v>0</v>
      </c>
      <c r="C16" s="3" t="n">
        <v>0</v>
      </c>
      <c r="D16" s="3" t="n">
        <v>0</v>
      </c>
      <c r="E16" s="3" t="n">
        <v>108000</v>
      </c>
      <c r="F16" s="3" t="n">
        <v>0</v>
      </c>
      <c r="G16" s="3" t="n">
        <v>0</v>
      </c>
      <c r="H16" s="3" t="n">
        <v>0</v>
      </c>
      <c r="I16" s="3" t="n">
        <v>108000</v>
      </c>
      <c r="J16" s="3" t="n">
        <v>0</v>
      </c>
      <c r="K16" s="3" t="n">
        <v>0</v>
      </c>
      <c r="L16" s="3" t="n">
        <v>0</v>
      </c>
      <c r="M16" s="3" t="n">
        <v>108000</v>
      </c>
      <c r="N16" s="3" t="n">
        <v>0</v>
      </c>
      <c r="O16" s="4">
        <f>SUM(B16:N16)</f>
        <v/>
      </c>
    </row>
    <row r="17">
      <c r="A17" s="7" t="inlineStr">
        <is>
          <t>Equipment &amp; Vehicle Leases</t>
        </is>
      </c>
      <c r="B17" s="3" t="n">
        <v>0</v>
      </c>
      <c r="C17" s="3" t="n">
        <v>0</v>
      </c>
      <c r="D17" s="3" t="n">
        <v>85000</v>
      </c>
      <c r="E17" s="3" t="n">
        <v>0</v>
      </c>
      <c r="F17" s="3" t="n">
        <v>0</v>
      </c>
      <c r="G17" s="3" t="n">
        <v>0</v>
      </c>
      <c r="H17" s="3" t="n">
        <v>85000</v>
      </c>
      <c r="I17" s="3" t="n">
        <v>0</v>
      </c>
      <c r="J17" s="3" t="n">
        <v>0</v>
      </c>
      <c r="K17" s="3" t="n">
        <v>0</v>
      </c>
      <c r="L17" s="3" t="n">
        <v>85000</v>
      </c>
      <c r="M17" s="3" t="n">
        <v>0</v>
      </c>
      <c r="N17" s="3" t="n">
        <v>0</v>
      </c>
      <c r="O17" s="4">
        <f>SUM(B17:N17)</f>
        <v/>
      </c>
    </row>
    <row r="18">
      <c r="A18" s="7" t="inlineStr">
        <is>
          <t>Term Loan Payment</t>
        </is>
      </c>
      <c r="B18" s="3" t="n">
        <v>0</v>
      </c>
      <c r="C18" s="3" t="n">
        <v>0</v>
      </c>
      <c r="D18" s="3" t="n">
        <v>0</v>
      </c>
      <c r="E18" s="3" t="n">
        <v>100000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100000</v>
      </c>
      <c r="N18" s="3" t="n">
        <v>0</v>
      </c>
      <c r="O18" s="4">
        <f>SUM(B18:N18)</f>
        <v/>
      </c>
    </row>
    <row r="19">
      <c r="A19" s="7" t="inlineStr">
        <is>
          <t>Other Operating Expenses</t>
        </is>
      </c>
      <c r="B19" s="3" t="n">
        <v>65000</v>
      </c>
      <c r="C19" s="3" t="n">
        <v>45000</v>
      </c>
      <c r="D19" s="3" t="n">
        <v>55000</v>
      </c>
      <c r="E19" s="3" t="n">
        <v>50000</v>
      </c>
      <c r="F19" s="3" t="n">
        <v>65000</v>
      </c>
      <c r="G19" s="3" t="n">
        <v>45000</v>
      </c>
      <c r="H19" s="3" t="n">
        <v>55000</v>
      </c>
      <c r="I19" s="3" t="n">
        <v>50000</v>
      </c>
      <c r="J19" s="3" t="n">
        <v>65000</v>
      </c>
      <c r="K19" s="3" t="n">
        <v>45000</v>
      </c>
      <c r="L19" s="3" t="n">
        <v>55000</v>
      </c>
      <c r="M19" s="3" t="n">
        <v>50000</v>
      </c>
      <c r="N19" s="3" t="n">
        <v>65000</v>
      </c>
      <c r="O19" s="4">
        <f>SUM(B19:N19)</f>
        <v/>
      </c>
    </row>
    <row r="20">
      <c r="A20" s="2" t="inlineStr">
        <is>
          <t>Total Outflows</t>
        </is>
      </c>
      <c r="B20" s="8">
        <f>B12+B13+B14+B15+B16+B17+B18+B19</f>
        <v/>
      </c>
      <c r="C20" s="8">
        <f>C12+C13+C14+C15+C16+C17+C18+C19</f>
        <v/>
      </c>
      <c r="D20" s="8">
        <f>D12+D13+D14+D15+D16+D17+D18+D19</f>
        <v/>
      </c>
      <c r="E20" s="8">
        <f>E12+E13+E14+E15+E16+E17+E18+E19</f>
        <v/>
      </c>
      <c r="F20" s="8">
        <f>F12+F13+F14+F15+F16+F17+F18+F19</f>
        <v/>
      </c>
      <c r="G20" s="8">
        <f>G12+G13+G14+G15+G16+G17+G18+G19</f>
        <v/>
      </c>
      <c r="H20" s="8">
        <f>H12+H13+H14+H15+H16+H17+H18+H19</f>
        <v/>
      </c>
      <c r="I20" s="8">
        <f>I12+I13+I14+I15+I16+I17+I18+I19</f>
        <v/>
      </c>
      <c r="J20" s="8">
        <f>J12+J13+J14+J15+J16+J17+J18+J19</f>
        <v/>
      </c>
      <c r="K20" s="8">
        <f>K12+K13+K14+K15+K16+K17+K18+K19</f>
        <v/>
      </c>
      <c r="L20" s="8">
        <f>L12+L13+L14+L15+L16+L17+L18+L19</f>
        <v/>
      </c>
      <c r="M20" s="8">
        <f>M12+M13+M14+M15+M16+M17+M18+M19</f>
        <v/>
      </c>
      <c r="N20" s="8">
        <f>N12+N13+N14+N15+N16+N17+N18+N19</f>
        <v/>
      </c>
      <c r="O20" s="8">
        <f>O12+O13+O14+O15+O16+O17+O18+O19</f>
        <v/>
      </c>
    </row>
    <row r="21" ht="6" customHeight="1"/>
    <row r="22">
      <c r="A22" s="2" t="inlineStr">
        <is>
          <t>Net Cash Flow</t>
        </is>
      </c>
      <c r="B22" s="8">
        <f>B9-B20</f>
        <v/>
      </c>
      <c r="C22" s="8">
        <f>C9-C20</f>
        <v/>
      </c>
      <c r="D22" s="8">
        <f>D9-D20</f>
        <v/>
      </c>
      <c r="E22" s="8">
        <f>E9-E20</f>
        <v/>
      </c>
      <c r="F22" s="8">
        <f>F9-F20</f>
        <v/>
      </c>
      <c r="G22" s="8">
        <f>G9-G20</f>
        <v/>
      </c>
      <c r="H22" s="8">
        <f>H9-H20</f>
        <v/>
      </c>
      <c r="I22" s="8">
        <f>I9-I20</f>
        <v/>
      </c>
      <c r="J22" s="8">
        <f>J9-J20</f>
        <v/>
      </c>
      <c r="K22" s="8">
        <f>K9-K20</f>
        <v/>
      </c>
      <c r="L22" s="8">
        <f>L9-L20</f>
        <v/>
      </c>
      <c r="M22" s="8">
        <f>M9-M20</f>
        <v/>
      </c>
      <c r="N22" s="8">
        <f>N9-N20</f>
        <v/>
      </c>
      <c r="O22" s="8">
        <f>O9-O20</f>
        <v/>
      </c>
    </row>
    <row r="23" ht="6" customHeight="1"/>
    <row r="24">
      <c r="A24" s="9" t="inlineStr">
        <is>
          <t>Closing Cash</t>
        </is>
      </c>
      <c r="B24" s="10">
        <f>B2+B22</f>
        <v/>
      </c>
      <c r="C24" s="10">
        <f>C2+C22</f>
        <v/>
      </c>
      <c r="D24" s="10">
        <f>D2+D22</f>
        <v/>
      </c>
      <c r="E24" s="10">
        <f>E2+E22</f>
        <v/>
      </c>
      <c r="F24" s="10">
        <f>F2+F22</f>
        <v/>
      </c>
      <c r="G24" s="10">
        <f>G2+G22</f>
        <v/>
      </c>
      <c r="H24" s="10">
        <f>H2+H22</f>
        <v/>
      </c>
      <c r="I24" s="10">
        <f>I2+I22</f>
        <v/>
      </c>
      <c r="J24" s="10">
        <f>J2+J22</f>
        <v/>
      </c>
      <c r="K24" s="10">
        <f>K2+K22</f>
        <v/>
      </c>
      <c r="L24" s="10">
        <f>L2+L22</f>
        <v/>
      </c>
      <c r="M24" s="10">
        <f>M2+M22</f>
        <v/>
      </c>
      <c r="N24" s="10">
        <f>N2+N22</f>
        <v/>
      </c>
      <c r="O24" s="10">
        <f>N24</f>
        <v/>
      </c>
    </row>
  </sheetData>
  <conditionalFormatting sqref="B24:N24">
    <cfRule type="cellIs" priority="1" operator="lessThan" dxfId="0">
      <formula>0</formula>
    </cfRule>
  </conditionalFormatting>
  <pageMargins left="0.75" right="0.75" top="1" bottom="1" header="0.5" footer="0.5"/>
  <pageSetup orientation="landscape" fitToHeight="0" fitToWidth="1"/>
  <headerFooter>
    <oddHeader>&amp;L&amp;"Calibri,Bold"&amp;14 OSM Worldwide&amp;C&amp;"Calibri"&amp;11 13-Week Cash Flow Forecast&amp;R&amp;"Calibri"&amp;9 Prepared by 1404 Labs</oddHeader>
    <oddFooter>&amp;L&amp;8 CONFIDENTIAL&amp;R&amp;8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/>
  </sheetPr>
  <dimension ref="A1:O9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>
      <c r="A1" s="1" t="inlineStr">
        <is>
          <t>Description</t>
        </is>
      </c>
      <c r="B1" s="1" t="inlineStr">
        <is>
          <t>04/07/2026</t>
        </is>
      </c>
      <c r="C1" s="1" t="inlineStr">
        <is>
          <t>04/14/2026</t>
        </is>
      </c>
      <c r="D1" s="1" t="inlineStr">
        <is>
          <t>04/21/2026</t>
        </is>
      </c>
      <c r="E1" s="1" t="inlineStr">
        <is>
          <t>04/28/2026</t>
        </is>
      </c>
      <c r="F1" s="1" t="inlineStr">
        <is>
          <t>05/05/2026</t>
        </is>
      </c>
      <c r="G1" s="1" t="inlineStr">
        <is>
          <t>05/12/2026</t>
        </is>
      </c>
      <c r="H1" s="1" t="inlineStr">
        <is>
          <t>05/19/2026</t>
        </is>
      </c>
      <c r="I1" s="1" t="inlineStr">
        <is>
          <t>05/26/2026</t>
        </is>
      </c>
      <c r="J1" s="1" t="inlineStr">
        <is>
          <t>06/02/2026</t>
        </is>
      </c>
      <c r="K1" s="1" t="inlineStr">
        <is>
          <t>06/09/2026</t>
        </is>
      </c>
      <c r="L1" s="1" t="inlineStr">
        <is>
          <t>06/16/2026</t>
        </is>
      </c>
      <c r="M1" s="1" t="inlineStr">
        <is>
          <t>06/23/2026</t>
        </is>
      </c>
      <c r="N1" s="1" t="inlineStr">
        <is>
          <t>06/30/2026</t>
        </is>
      </c>
      <c r="O1" s="1" t="inlineStr">
        <is>
          <t>Total</t>
        </is>
      </c>
    </row>
    <row r="2">
      <c r="A2" s="5" t="inlineStr">
        <is>
          <t>CHICAGO HQ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2" t="inlineStr">
        <is>
          <t>Opening Cash</t>
        </is>
      </c>
      <c r="B3" s="3" t="n">
        <v>2800000</v>
      </c>
      <c r="C3" s="4">
        <f>B19</f>
        <v/>
      </c>
      <c r="D3" s="4">
        <f>C19</f>
        <v/>
      </c>
      <c r="E3" s="4">
        <f>D19</f>
        <v/>
      </c>
      <c r="F3" s="4">
        <f>E19</f>
        <v/>
      </c>
      <c r="G3" s="4">
        <f>F19</f>
        <v/>
      </c>
      <c r="H3" s="4">
        <f>G19</f>
        <v/>
      </c>
      <c r="I3" s="4">
        <f>H19</f>
        <v/>
      </c>
      <c r="J3" s="4">
        <f>I19</f>
        <v/>
      </c>
      <c r="K3" s="4">
        <f>J19</f>
        <v/>
      </c>
      <c r="L3" s="4">
        <f>K19</f>
        <v/>
      </c>
      <c r="M3" s="4">
        <f>L19</f>
        <v/>
      </c>
      <c r="N3" s="4">
        <f>M19</f>
        <v/>
      </c>
    </row>
    <row r="4" ht="6" customHeight="1"/>
    <row r="5">
      <c r="A5" s="5" t="inlineStr">
        <is>
          <t>INFLOWS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Customer Collections</t>
        </is>
      </c>
      <c r="B6" s="3" t="n">
        <v>720000</v>
      </c>
      <c r="C6" s="3" t="n">
        <v>760000</v>
      </c>
      <c r="D6" s="3" t="n">
        <v>700000</v>
      </c>
      <c r="E6" s="3" t="n">
        <v>785000</v>
      </c>
      <c r="F6" s="3" t="n">
        <v>735000</v>
      </c>
      <c r="G6" s="3" t="n">
        <v>800000</v>
      </c>
      <c r="H6" s="3" t="n">
        <v>730000</v>
      </c>
      <c r="I6" s="3" t="n">
        <v>775000</v>
      </c>
      <c r="J6" s="3" t="n">
        <v>750000</v>
      </c>
      <c r="K6" s="3" t="n">
        <v>835000</v>
      </c>
      <c r="L6" s="3" t="n">
        <v>770000</v>
      </c>
      <c r="M6" s="3" t="n">
        <v>820000</v>
      </c>
      <c r="N6" s="3" t="n">
        <v>760000</v>
      </c>
      <c r="O6" s="4">
        <f>SUM(B6:N6)</f>
        <v/>
      </c>
    </row>
    <row r="7">
      <c r="A7" s="7" t="inlineStr">
        <is>
          <t>Surcharges &amp; Fuel</t>
        </is>
      </c>
      <c r="B7" s="3" t="n">
        <v>92000</v>
      </c>
      <c r="C7" s="3" t="n">
        <v>84000</v>
      </c>
      <c r="D7" s="3" t="n">
        <v>94000</v>
      </c>
      <c r="E7" s="3" t="n">
        <v>88000</v>
      </c>
      <c r="F7" s="3" t="n">
        <v>93000</v>
      </c>
      <c r="G7" s="3" t="n">
        <v>86000</v>
      </c>
      <c r="H7" s="3" t="n">
        <v>97000</v>
      </c>
      <c r="I7" s="3" t="n">
        <v>90000</v>
      </c>
      <c r="J7" s="3" t="n">
        <v>95000</v>
      </c>
      <c r="K7" s="3" t="n">
        <v>88000</v>
      </c>
      <c r="L7" s="3" t="n">
        <v>99000</v>
      </c>
      <c r="M7" s="3" t="n">
        <v>92000</v>
      </c>
      <c r="N7" s="3" t="n">
        <v>95000</v>
      </c>
      <c r="O7" s="4">
        <f>SUM(B7:N7)</f>
        <v/>
      </c>
    </row>
    <row r="8">
      <c r="A8" s="2" t="inlineStr">
        <is>
          <t>Total Inflows</t>
        </is>
      </c>
      <c r="B8" s="8">
        <f>B6+B7</f>
        <v/>
      </c>
      <c r="C8" s="8">
        <f>C6+C7</f>
        <v/>
      </c>
      <c r="D8" s="8">
        <f>D6+D7</f>
        <v/>
      </c>
      <c r="E8" s="8">
        <f>E6+E7</f>
        <v/>
      </c>
      <c r="F8" s="8">
        <f>F6+F7</f>
        <v/>
      </c>
      <c r="G8" s="8">
        <f>G6+G7</f>
        <v/>
      </c>
      <c r="H8" s="8">
        <f>H6+H7</f>
        <v/>
      </c>
      <c r="I8" s="8">
        <f>I6+I7</f>
        <v/>
      </c>
      <c r="J8" s="8">
        <f>J6+J7</f>
        <v/>
      </c>
      <c r="K8" s="8">
        <f>K6+K7</f>
        <v/>
      </c>
      <c r="L8" s="8">
        <f>L6+L7</f>
        <v/>
      </c>
      <c r="M8" s="8">
        <f>M6+M7</f>
        <v/>
      </c>
      <c r="N8" s="8">
        <f>N6+N7</f>
        <v/>
      </c>
      <c r="O8" s="8">
        <f>O6+O7</f>
        <v/>
      </c>
    </row>
    <row r="9" ht="6" customHeight="1"/>
    <row r="10">
      <c r="A10" s="5" t="inlineStr">
        <is>
          <t>OUTFLOWS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</row>
    <row r="11">
      <c r="A11" s="7" t="inlineStr">
        <is>
          <t>Carrier Settlements</t>
        </is>
      </c>
      <c r="B11" s="3" t="n">
        <v>460000</v>
      </c>
      <c r="C11" s="3" t="n">
        <v>475000</v>
      </c>
      <c r="D11" s="3" t="n">
        <v>450000</v>
      </c>
      <c r="E11" s="3" t="n">
        <v>468000</v>
      </c>
      <c r="F11" s="3" t="n">
        <v>464000</v>
      </c>
      <c r="G11" s="3" t="n">
        <v>480000</v>
      </c>
      <c r="H11" s="3" t="n">
        <v>457000</v>
      </c>
      <c r="I11" s="3" t="n">
        <v>470000</v>
      </c>
      <c r="J11" s="3" t="n">
        <v>467000</v>
      </c>
      <c r="K11" s="3" t="n">
        <v>483000</v>
      </c>
      <c r="L11" s="3" t="n">
        <v>460000</v>
      </c>
      <c r="M11" s="3" t="n">
        <v>477000</v>
      </c>
      <c r="N11" s="3" t="n">
        <v>464000</v>
      </c>
      <c r="O11" s="4">
        <f>SUM(B11:N11)</f>
        <v/>
      </c>
    </row>
    <row r="12">
      <c r="A12" s="7" t="inlineStr">
        <is>
          <t>Payroll &amp; Benefits</t>
        </is>
      </c>
      <c r="B12" s="3" t="n">
        <v>175000</v>
      </c>
      <c r="C12" s="3" t="n">
        <v>0</v>
      </c>
      <c r="D12" s="3" t="n">
        <v>175000</v>
      </c>
      <c r="E12" s="3" t="n">
        <v>0</v>
      </c>
      <c r="F12" s="3" t="n">
        <v>178000</v>
      </c>
      <c r="G12" s="3" t="n">
        <v>0</v>
      </c>
      <c r="H12" s="3" t="n">
        <v>178000</v>
      </c>
      <c r="I12" s="3" t="n">
        <v>0</v>
      </c>
      <c r="J12" s="3" t="n">
        <v>181000</v>
      </c>
      <c r="K12" s="3" t="n">
        <v>0</v>
      </c>
      <c r="L12" s="3" t="n">
        <v>181000</v>
      </c>
      <c r="M12" s="3" t="n">
        <v>0</v>
      </c>
      <c r="N12" s="3" t="n">
        <v>181000</v>
      </c>
      <c r="O12" s="4">
        <f>SUM(B12:N12)</f>
        <v/>
      </c>
    </row>
    <row r="13">
      <c r="A13" s="7" t="inlineStr">
        <is>
          <t>Facility Costs</t>
        </is>
      </c>
      <c r="B13" s="3" t="n">
        <v>145000</v>
      </c>
      <c r="C13" s="3" t="n">
        <v>0</v>
      </c>
      <c r="D13" s="3" t="n">
        <v>0</v>
      </c>
      <c r="E13" s="3" t="n">
        <v>0</v>
      </c>
      <c r="F13" s="3" t="n">
        <v>145000</v>
      </c>
      <c r="G13" s="3" t="n">
        <v>0</v>
      </c>
      <c r="H13" s="3" t="n">
        <v>0</v>
      </c>
      <c r="I13" s="3" t="n">
        <v>0</v>
      </c>
      <c r="J13" s="3" t="n">
        <v>145000</v>
      </c>
      <c r="K13" s="3" t="n">
        <v>0</v>
      </c>
      <c r="L13" s="3" t="n">
        <v>0</v>
      </c>
      <c r="M13" s="3" t="n">
        <v>0</v>
      </c>
      <c r="N13" s="3" t="n">
        <v>0</v>
      </c>
      <c r="O13" s="4">
        <f>SUM(B13:N13)</f>
        <v/>
      </c>
    </row>
    <row r="14">
      <c r="A14" s="7" t="inlineStr">
        <is>
          <t>Other OpEx</t>
        </is>
      </c>
      <c r="B14" s="3" t="n">
        <v>38000</v>
      </c>
      <c r="C14" s="3" t="n">
        <v>20000</v>
      </c>
      <c r="D14" s="3" t="n">
        <v>28000</v>
      </c>
      <c r="E14" s="3" t="n">
        <v>55000</v>
      </c>
      <c r="F14" s="3" t="n">
        <v>38000</v>
      </c>
      <c r="G14" s="3" t="n">
        <v>20000</v>
      </c>
      <c r="H14" s="3" t="n">
        <v>28000</v>
      </c>
      <c r="I14" s="3" t="n">
        <v>38000</v>
      </c>
      <c r="J14" s="3" t="n">
        <v>38000</v>
      </c>
      <c r="K14" s="3" t="n">
        <v>20000</v>
      </c>
      <c r="L14" s="3" t="n">
        <v>28000</v>
      </c>
      <c r="M14" s="3" t="n">
        <v>55000</v>
      </c>
      <c r="N14" s="3" t="n">
        <v>38000</v>
      </c>
      <c r="O14" s="4">
        <f>SUM(B14:N14)</f>
        <v/>
      </c>
    </row>
    <row r="15">
      <c r="A15" s="2" t="inlineStr">
        <is>
          <t>Total Outflows</t>
        </is>
      </c>
      <c r="B15" s="8">
        <f>B11+B12+B13+B14</f>
        <v/>
      </c>
      <c r="C15" s="8">
        <f>C11+C12+C13+C14</f>
        <v/>
      </c>
      <c r="D15" s="8">
        <f>D11+D12+D13+D14</f>
        <v/>
      </c>
      <c r="E15" s="8">
        <f>E11+E12+E13+E14</f>
        <v/>
      </c>
      <c r="F15" s="8">
        <f>F11+F12+F13+F14</f>
        <v/>
      </c>
      <c r="G15" s="8">
        <f>G11+G12+G13+G14</f>
        <v/>
      </c>
      <c r="H15" s="8">
        <f>H11+H12+H13+H14</f>
        <v/>
      </c>
      <c r="I15" s="8">
        <f>I11+I12+I13+I14</f>
        <v/>
      </c>
      <c r="J15" s="8">
        <f>J11+J12+J13+J14</f>
        <v/>
      </c>
      <c r="K15" s="8">
        <f>K11+K12+K13+K14</f>
        <v/>
      </c>
      <c r="L15" s="8">
        <f>L11+L12+L13+L14</f>
        <v/>
      </c>
      <c r="M15" s="8">
        <f>M11+M12+M13+M14</f>
        <v/>
      </c>
      <c r="N15" s="8">
        <f>N11+N12+N13+N14</f>
        <v/>
      </c>
      <c r="O15" s="8">
        <f>O11+O12+O13+O14</f>
        <v/>
      </c>
    </row>
    <row r="16" ht="6" customHeight="1"/>
    <row r="17">
      <c r="A17" s="2" t="inlineStr">
        <is>
          <t>Net Cash Flow</t>
        </is>
      </c>
      <c r="B17" s="8">
        <f>B8-B15</f>
        <v/>
      </c>
      <c r="C17" s="8">
        <f>C8-C15</f>
        <v/>
      </c>
      <c r="D17" s="8">
        <f>D8-D15</f>
        <v/>
      </c>
      <c r="E17" s="8">
        <f>E8-E15</f>
        <v/>
      </c>
      <c r="F17" s="8">
        <f>F8-F15</f>
        <v/>
      </c>
      <c r="G17" s="8">
        <f>G8-G15</f>
        <v/>
      </c>
      <c r="H17" s="8">
        <f>H8-H15</f>
        <v/>
      </c>
      <c r="I17" s="8">
        <f>I8-I15</f>
        <v/>
      </c>
      <c r="J17" s="8">
        <f>J8-J15</f>
        <v/>
      </c>
      <c r="K17" s="8">
        <f>K8-K15</f>
        <v/>
      </c>
      <c r="L17" s="8">
        <f>L8-L15</f>
        <v/>
      </c>
      <c r="M17" s="8">
        <f>M8-M15</f>
        <v/>
      </c>
      <c r="N17" s="8">
        <f>N8-N15</f>
        <v/>
      </c>
      <c r="O17" s="8">
        <f>O8-O15</f>
        <v/>
      </c>
    </row>
    <row r="18" ht="6" customHeight="1"/>
    <row r="19">
      <c r="A19" s="9" t="inlineStr">
        <is>
          <t>Closing Cash</t>
        </is>
      </c>
      <c r="B19" s="10">
        <f>B3+B17</f>
        <v/>
      </c>
      <c r="C19" s="10">
        <f>C3+C17</f>
        <v/>
      </c>
      <c r="D19" s="10">
        <f>D3+D17</f>
        <v/>
      </c>
      <c r="E19" s="10">
        <f>E3+E17</f>
        <v/>
      </c>
      <c r="F19" s="10">
        <f>F3+F17</f>
        <v/>
      </c>
      <c r="G19" s="10">
        <f>G3+G17</f>
        <v/>
      </c>
      <c r="H19" s="10">
        <f>H3+H17</f>
        <v/>
      </c>
      <c r="I19" s="10">
        <f>I3+I17</f>
        <v/>
      </c>
      <c r="J19" s="10">
        <f>J3+J17</f>
        <v/>
      </c>
      <c r="K19" s="10">
        <f>K3+K17</f>
        <v/>
      </c>
      <c r="L19" s="10">
        <f>L3+L17</f>
        <v/>
      </c>
      <c r="M19" s="10">
        <f>M3+M17</f>
        <v/>
      </c>
      <c r="N19" s="10">
        <f>N3+N17</f>
        <v/>
      </c>
      <c r="O19" s="10">
        <f>N19</f>
        <v/>
      </c>
    </row>
    <row r="20" ht="6" customHeight="1"/>
    <row r="21">
      <c r="A21" s="5" t="inlineStr">
        <is>
          <t>ATLANTA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2" t="inlineStr">
        <is>
          <t>Opening Cash</t>
        </is>
      </c>
      <c r="B22" s="3" t="n">
        <v>1900000</v>
      </c>
      <c r="C22" s="4">
        <f>B38</f>
        <v/>
      </c>
      <c r="D22" s="4">
        <f>C38</f>
        <v/>
      </c>
      <c r="E22" s="4">
        <f>D38</f>
        <v/>
      </c>
      <c r="F22" s="4">
        <f>E38</f>
        <v/>
      </c>
      <c r="G22" s="4">
        <f>F38</f>
        <v/>
      </c>
      <c r="H22" s="4">
        <f>G38</f>
        <v/>
      </c>
      <c r="I22" s="4">
        <f>H38</f>
        <v/>
      </c>
      <c r="J22" s="4">
        <f>I38</f>
        <v/>
      </c>
      <c r="K22" s="4">
        <f>J38</f>
        <v/>
      </c>
      <c r="L22" s="4">
        <f>K38</f>
        <v/>
      </c>
      <c r="M22" s="4">
        <f>L38</f>
        <v/>
      </c>
      <c r="N22" s="4">
        <f>M38</f>
        <v/>
      </c>
    </row>
    <row r="23" ht="6" customHeight="1"/>
    <row r="24">
      <c r="A24" s="5" t="inlineStr">
        <is>
          <t>INFLOWS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</row>
    <row r="25">
      <c r="A25" s="7" t="inlineStr">
        <is>
          <t>Customer Collections</t>
        </is>
      </c>
      <c r="B25" s="3" t="n">
        <v>480000</v>
      </c>
      <c r="C25" s="3" t="n">
        <v>510000</v>
      </c>
      <c r="D25" s="3" t="n">
        <v>465000</v>
      </c>
      <c r="E25" s="3" t="n">
        <v>525000</v>
      </c>
      <c r="F25" s="3" t="n">
        <v>490000</v>
      </c>
      <c r="G25" s="3" t="n">
        <v>535000</v>
      </c>
      <c r="H25" s="3" t="n">
        <v>485000</v>
      </c>
      <c r="I25" s="3" t="n">
        <v>520000</v>
      </c>
      <c r="J25" s="3" t="n">
        <v>500000</v>
      </c>
      <c r="K25" s="3" t="n">
        <v>560000</v>
      </c>
      <c r="L25" s="3" t="n">
        <v>515000</v>
      </c>
      <c r="M25" s="3" t="n">
        <v>550000</v>
      </c>
      <c r="N25" s="3" t="n">
        <v>510000</v>
      </c>
      <c r="O25" s="4">
        <f>SUM(B25:N25)</f>
        <v/>
      </c>
    </row>
    <row r="26">
      <c r="A26" s="7" t="inlineStr">
        <is>
          <t>Surcharges &amp; Fuel</t>
        </is>
      </c>
      <c r="B26" s="3" t="n">
        <v>61000</v>
      </c>
      <c r="C26" s="3" t="n">
        <v>56000</v>
      </c>
      <c r="D26" s="3" t="n">
        <v>63000</v>
      </c>
      <c r="E26" s="3" t="n">
        <v>59000</v>
      </c>
      <c r="F26" s="3" t="n">
        <v>62000</v>
      </c>
      <c r="G26" s="3" t="n">
        <v>57000</v>
      </c>
      <c r="H26" s="3" t="n">
        <v>65000</v>
      </c>
      <c r="I26" s="3" t="n">
        <v>60000</v>
      </c>
      <c r="J26" s="3" t="n">
        <v>63000</v>
      </c>
      <c r="K26" s="3" t="n">
        <v>59000</v>
      </c>
      <c r="L26" s="3" t="n">
        <v>66000</v>
      </c>
      <c r="M26" s="3" t="n">
        <v>62000</v>
      </c>
      <c r="N26" s="3" t="n">
        <v>63000</v>
      </c>
      <c r="O26" s="4">
        <f>SUM(B26:N26)</f>
        <v/>
      </c>
    </row>
    <row r="27">
      <c r="A27" s="2" t="inlineStr">
        <is>
          <t>Total Inflows</t>
        </is>
      </c>
      <c r="B27" s="8">
        <f>B25+B26</f>
        <v/>
      </c>
      <c r="C27" s="8">
        <f>C25+C26</f>
        <v/>
      </c>
      <c r="D27" s="8">
        <f>D25+D26</f>
        <v/>
      </c>
      <c r="E27" s="8">
        <f>E25+E26</f>
        <v/>
      </c>
      <c r="F27" s="8">
        <f>F25+F26</f>
        <v/>
      </c>
      <c r="G27" s="8">
        <f>G25+G26</f>
        <v/>
      </c>
      <c r="H27" s="8">
        <f>H25+H26</f>
        <v/>
      </c>
      <c r="I27" s="8">
        <f>I25+I26</f>
        <v/>
      </c>
      <c r="J27" s="8">
        <f>J25+J26</f>
        <v/>
      </c>
      <c r="K27" s="8">
        <f>K25+K26</f>
        <v/>
      </c>
      <c r="L27" s="8">
        <f>L25+L26</f>
        <v/>
      </c>
      <c r="M27" s="8">
        <f>M25+M26</f>
        <v/>
      </c>
      <c r="N27" s="8">
        <f>N25+N26</f>
        <v/>
      </c>
      <c r="O27" s="8">
        <f>O25+O26</f>
        <v/>
      </c>
    </row>
    <row r="28" ht="6" customHeight="1"/>
    <row r="29">
      <c r="A29" s="5" t="inlineStr">
        <is>
          <t>OUTFLOWS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7" t="inlineStr">
        <is>
          <t>Carrier Settlements</t>
        </is>
      </c>
      <c r="B30" s="3" t="n">
        <v>310000</v>
      </c>
      <c r="C30" s="3" t="n">
        <v>320000</v>
      </c>
      <c r="D30" s="3" t="n">
        <v>303000</v>
      </c>
      <c r="E30" s="3" t="n">
        <v>315000</v>
      </c>
      <c r="F30" s="3" t="n">
        <v>312000</v>
      </c>
      <c r="G30" s="3" t="n">
        <v>324000</v>
      </c>
      <c r="H30" s="3" t="n">
        <v>308000</v>
      </c>
      <c r="I30" s="3" t="n">
        <v>317000</v>
      </c>
      <c r="J30" s="3" t="n">
        <v>315000</v>
      </c>
      <c r="K30" s="3" t="n">
        <v>327000</v>
      </c>
      <c r="L30" s="3" t="n">
        <v>310000</v>
      </c>
      <c r="M30" s="3" t="n">
        <v>322000</v>
      </c>
      <c r="N30" s="3" t="n">
        <v>312000</v>
      </c>
      <c r="O30" s="4">
        <f>SUM(B30:N30)</f>
        <v/>
      </c>
    </row>
    <row r="31">
      <c r="A31" s="7" t="inlineStr">
        <is>
          <t>Payroll &amp; Benefits</t>
        </is>
      </c>
      <c r="B31" s="3" t="n">
        <v>118000</v>
      </c>
      <c r="C31" s="3" t="n">
        <v>0</v>
      </c>
      <c r="D31" s="3" t="n">
        <v>118000</v>
      </c>
      <c r="E31" s="3" t="n">
        <v>0</v>
      </c>
      <c r="F31" s="3" t="n">
        <v>120000</v>
      </c>
      <c r="G31" s="3" t="n">
        <v>0</v>
      </c>
      <c r="H31" s="3" t="n">
        <v>120000</v>
      </c>
      <c r="I31" s="3" t="n">
        <v>0</v>
      </c>
      <c r="J31" s="3" t="n">
        <v>122000</v>
      </c>
      <c r="K31" s="3" t="n">
        <v>0</v>
      </c>
      <c r="L31" s="3" t="n">
        <v>122000</v>
      </c>
      <c r="M31" s="3" t="n">
        <v>0</v>
      </c>
      <c r="N31" s="3" t="n">
        <v>122000</v>
      </c>
      <c r="O31" s="4">
        <f>SUM(B31:N31)</f>
        <v/>
      </c>
    </row>
    <row r="32">
      <c r="A32" s="7" t="inlineStr">
        <is>
          <t>Facility Costs</t>
        </is>
      </c>
      <c r="B32" s="3" t="n">
        <v>82000</v>
      </c>
      <c r="C32" s="3" t="n">
        <v>0</v>
      </c>
      <c r="D32" s="3" t="n">
        <v>0</v>
      </c>
      <c r="E32" s="3" t="n">
        <v>0</v>
      </c>
      <c r="F32" s="3" t="n">
        <v>82000</v>
      </c>
      <c r="G32" s="3" t="n">
        <v>0</v>
      </c>
      <c r="H32" s="3" t="n">
        <v>0</v>
      </c>
      <c r="I32" s="3" t="n">
        <v>0</v>
      </c>
      <c r="J32" s="3" t="n">
        <v>82000</v>
      </c>
      <c r="K32" s="3" t="n">
        <v>0</v>
      </c>
      <c r="L32" s="3" t="n">
        <v>0</v>
      </c>
      <c r="M32" s="3" t="n">
        <v>0</v>
      </c>
      <c r="N32" s="3" t="n">
        <v>0</v>
      </c>
      <c r="O32" s="4">
        <f>SUM(B32:N32)</f>
        <v/>
      </c>
    </row>
    <row r="33">
      <c r="A33" s="7" t="inlineStr">
        <is>
          <t>Other OpEx</t>
        </is>
      </c>
      <c r="B33" s="3" t="n">
        <v>24000</v>
      </c>
      <c r="C33" s="3" t="n">
        <v>12000</v>
      </c>
      <c r="D33" s="3" t="n">
        <v>20000</v>
      </c>
      <c r="E33" s="3" t="n">
        <v>40000</v>
      </c>
      <c r="F33" s="3" t="n">
        <v>24000</v>
      </c>
      <c r="G33" s="3" t="n">
        <v>12000</v>
      </c>
      <c r="H33" s="3" t="n">
        <v>20000</v>
      </c>
      <c r="I33" s="3" t="n">
        <v>28000</v>
      </c>
      <c r="J33" s="3" t="n">
        <v>24000</v>
      </c>
      <c r="K33" s="3" t="n">
        <v>12000</v>
      </c>
      <c r="L33" s="3" t="n">
        <v>20000</v>
      </c>
      <c r="M33" s="3" t="n">
        <v>40000</v>
      </c>
      <c r="N33" s="3" t="n">
        <v>24000</v>
      </c>
      <c r="O33" s="4">
        <f>SUM(B33:N33)</f>
        <v/>
      </c>
    </row>
    <row r="34">
      <c r="A34" s="2" t="inlineStr">
        <is>
          <t>Total Outflows</t>
        </is>
      </c>
      <c r="B34" s="8">
        <f>B30+B31+B32+B33</f>
        <v/>
      </c>
      <c r="C34" s="8">
        <f>C30+C31+C32+C33</f>
        <v/>
      </c>
      <c r="D34" s="8">
        <f>D30+D31+D32+D33</f>
        <v/>
      </c>
      <c r="E34" s="8">
        <f>E30+E31+E32+E33</f>
        <v/>
      </c>
      <c r="F34" s="8">
        <f>F30+F31+F32+F33</f>
        <v/>
      </c>
      <c r="G34" s="8">
        <f>G30+G31+G32+G33</f>
        <v/>
      </c>
      <c r="H34" s="8">
        <f>H30+H31+H32+H33</f>
        <v/>
      </c>
      <c r="I34" s="8">
        <f>I30+I31+I32+I33</f>
        <v/>
      </c>
      <c r="J34" s="8">
        <f>J30+J31+J32+J33</f>
        <v/>
      </c>
      <c r="K34" s="8">
        <f>K30+K31+K32+K33</f>
        <v/>
      </c>
      <c r="L34" s="8">
        <f>L30+L31+L32+L33</f>
        <v/>
      </c>
      <c r="M34" s="8">
        <f>M30+M31+M32+M33</f>
        <v/>
      </c>
      <c r="N34" s="8">
        <f>N30+N31+N32+N33</f>
        <v/>
      </c>
      <c r="O34" s="8">
        <f>O30+O31+O32+O33</f>
        <v/>
      </c>
    </row>
    <row r="35" ht="6" customHeight="1"/>
    <row r="36">
      <c r="A36" s="2" t="inlineStr">
        <is>
          <t>Net Cash Flow</t>
        </is>
      </c>
      <c r="B36" s="8">
        <f>B27-B34</f>
        <v/>
      </c>
      <c r="C36" s="8">
        <f>C27-C34</f>
        <v/>
      </c>
      <c r="D36" s="8">
        <f>D27-D34</f>
        <v/>
      </c>
      <c r="E36" s="8">
        <f>E27-E34</f>
        <v/>
      </c>
      <c r="F36" s="8">
        <f>F27-F34</f>
        <v/>
      </c>
      <c r="G36" s="8">
        <f>G27-G34</f>
        <v/>
      </c>
      <c r="H36" s="8">
        <f>H27-H34</f>
        <v/>
      </c>
      <c r="I36" s="8">
        <f>I27-I34</f>
        <v/>
      </c>
      <c r="J36" s="8">
        <f>J27-J34</f>
        <v/>
      </c>
      <c r="K36" s="8">
        <f>K27-K34</f>
        <v/>
      </c>
      <c r="L36" s="8">
        <f>L27-L34</f>
        <v/>
      </c>
      <c r="M36" s="8">
        <f>M27-M34</f>
        <v/>
      </c>
      <c r="N36" s="8">
        <f>N27-N34</f>
        <v/>
      </c>
      <c r="O36" s="8">
        <f>O27-O34</f>
        <v/>
      </c>
    </row>
    <row r="37" ht="6" customHeight="1"/>
    <row r="38">
      <c r="A38" s="9" t="inlineStr">
        <is>
          <t>Closing Cash</t>
        </is>
      </c>
      <c r="B38" s="10">
        <f>B22+B36</f>
        <v/>
      </c>
      <c r="C38" s="10">
        <f>C22+C36</f>
        <v/>
      </c>
      <c r="D38" s="10">
        <f>D22+D36</f>
        <v/>
      </c>
      <c r="E38" s="10">
        <f>E22+E36</f>
        <v/>
      </c>
      <c r="F38" s="10">
        <f>F22+F36</f>
        <v/>
      </c>
      <c r="G38" s="10">
        <f>G22+G36</f>
        <v/>
      </c>
      <c r="H38" s="10">
        <f>H22+H36</f>
        <v/>
      </c>
      <c r="I38" s="10">
        <f>I22+I36</f>
        <v/>
      </c>
      <c r="J38" s="10">
        <f>J22+J36</f>
        <v/>
      </c>
      <c r="K38" s="10">
        <f>K22+K36</f>
        <v/>
      </c>
      <c r="L38" s="10">
        <f>L22+L36</f>
        <v/>
      </c>
      <c r="M38" s="10">
        <f>M22+M36</f>
        <v/>
      </c>
      <c r="N38" s="10">
        <f>N22+N36</f>
        <v/>
      </c>
      <c r="O38" s="10">
        <f>N38</f>
        <v/>
      </c>
    </row>
    <row r="39" ht="6" customHeight="1"/>
    <row r="40">
      <c r="A40" s="5" t="inlineStr">
        <is>
          <t>DALLAS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</row>
    <row r="41">
      <c r="A41" s="2" t="inlineStr">
        <is>
          <t>Opening Cash</t>
        </is>
      </c>
      <c r="B41" s="3" t="n">
        <v>1500000</v>
      </c>
      <c r="C41" s="4">
        <f>B57</f>
        <v/>
      </c>
      <c r="D41" s="4">
        <f>C57</f>
        <v/>
      </c>
      <c r="E41" s="4">
        <f>D57</f>
        <v/>
      </c>
      <c r="F41" s="4">
        <f>E57</f>
        <v/>
      </c>
      <c r="G41" s="4">
        <f>F57</f>
        <v/>
      </c>
      <c r="H41" s="4">
        <f>G57</f>
        <v/>
      </c>
      <c r="I41" s="4">
        <f>H57</f>
        <v/>
      </c>
      <c r="J41" s="4">
        <f>I57</f>
        <v/>
      </c>
      <c r="K41" s="4">
        <f>J57</f>
        <v/>
      </c>
      <c r="L41" s="4">
        <f>K57</f>
        <v/>
      </c>
      <c r="M41" s="4">
        <f>L57</f>
        <v/>
      </c>
      <c r="N41" s="4">
        <f>M57</f>
        <v/>
      </c>
    </row>
    <row r="42" ht="6" customHeight="1"/>
    <row r="43">
      <c r="A43" s="5" t="inlineStr">
        <is>
          <t>INFLOWS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7" t="inlineStr">
        <is>
          <t>Customer Collections</t>
        </is>
      </c>
      <c r="B44" s="3" t="n">
        <v>410000</v>
      </c>
      <c r="C44" s="3" t="n">
        <v>435000</v>
      </c>
      <c r="D44" s="3" t="n">
        <v>400000</v>
      </c>
      <c r="E44" s="3" t="n">
        <v>448000</v>
      </c>
      <c r="F44" s="3" t="n">
        <v>420000</v>
      </c>
      <c r="G44" s="3" t="n">
        <v>458000</v>
      </c>
      <c r="H44" s="3" t="n">
        <v>415000</v>
      </c>
      <c r="I44" s="3" t="n">
        <v>442000</v>
      </c>
      <c r="J44" s="3" t="n">
        <v>430000</v>
      </c>
      <c r="K44" s="3" t="n">
        <v>478000</v>
      </c>
      <c r="L44" s="3" t="n">
        <v>440000</v>
      </c>
      <c r="M44" s="3" t="n">
        <v>468000</v>
      </c>
      <c r="N44" s="3" t="n">
        <v>435000</v>
      </c>
      <c r="O44" s="4">
        <f>SUM(B44:N44)</f>
        <v/>
      </c>
    </row>
    <row r="45">
      <c r="A45" s="7" t="inlineStr">
        <is>
          <t>Surcharges &amp; Fuel</t>
        </is>
      </c>
      <c r="B45" s="3" t="n">
        <v>52000</v>
      </c>
      <c r="C45" s="3" t="n">
        <v>48000</v>
      </c>
      <c r="D45" s="3" t="n">
        <v>54000</v>
      </c>
      <c r="E45" s="3" t="n">
        <v>50000</v>
      </c>
      <c r="F45" s="3" t="n">
        <v>53000</v>
      </c>
      <c r="G45" s="3" t="n">
        <v>49000</v>
      </c>
      <c r="H45" s="3" t="n">
        <v>55000</v>
      </c>
      <c r="I45" s="3" t="n">
        <v>52000</v>
      </c>
      <c r="J45" s="3" t="n">
        <v>54000</v>
      </c>
      <c r="K45" s="3" t="n">
        <v>50000</v>
      </c>
      <c r="L45" s="3" t="n">
        <v>57000</v>
      </c>
      <c r="M45" s="3" t="n">
        <v>53000</v>
      </c>
      <c r="N45" s="3" t="n">
        <v>54000</v>
      </c>
      <c r="O45" s="4">
        <f>SUM(B45:N45)</f>
        <v/>
      </c>
    </row>
    <row r="46">
      <c r="A46" s="2" t="inlineStr">
        <is>
          <t>Total Inflows</t>
        </is>
      </c>
      <c r="B46" s="8">
        <f>B44+B45</f>
        <v/>
      </c>
      <c r="C46" s="8">
        <f>C44+C45</f>
        <v/>
      </c>
      <c r="D46" s="8">
        <f>D44+D45</f>
        <v/>
      </c>
      <c r="E46" s="8">
        <f>E44+E45</f>
        <v/>
      </c>
      <c r="F46" s="8">
        <f>F44+F45</f>
        <v/>
      </c>
      <c r="G46" s="8">
        <f>G44+G45</f>
        <v/>
      </c>
      <c r="H46" s="8">
        <f>H44+H45</f>
        <v/>
      </c>
      <c r="I46" s="8">
        <f>I44+I45</f>
        <v/>
      </c>
      <c r="J46" s="8">
        <f>J44+J45</f>
        <v/>
      </c>
      <c r="K46" s="8">
        <f>K44+K45</f>
        <v/>
      </c>
      <c r="L46" s="8">
        <f>L44+L45</f>
        <v/>
      </c>
      <c r="M46" s="8">
        <f>M44+M45</f>
        <v/>
      </c>
      <c r="N46" s="8">
        <f>N44+N45</f>
        <v/>
      </c>
      <c r="O46" s="8">
        <f>O44+O45</f>
        <v/>
      </c>
    </row>
    <row r="47" ht="6" customHeight="1"/>
    <row r="48">
      <c r="A48" s="5" t="inlineStr">
        <is>
          <t>OUTFLOWS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>
      <c r="A49" s="7" t="inlineStr">
        <is>
          <t>Carrier Settlements</t>
        </is>
      </c>
      <c r="B49" s="3" t="n">
        <v>265000</v>
      </c>
      <c r="C49" s="3" t="n">
        <v>273000</v>
      </c>
      <c r="D49" s="3" t="n">
        <v>259000</v>
      </c>
      <c r="E49" s="3" t="n">
        <v>269000</v>
      </c>
      <c r="F49" s="3" t="n">
        <v>267000</v>
      </c>
      <c r="G49" s="3" t="n">
        <v>277000</v>
      </c>
      <c r="H49" s="3" t="n">
        <v>263000</v>
      </c>
      <c r="I49" s="3" t="n">
        <v>271000</v>
      </c>
      <c r="J49" s="3" t="n">
        <v>269000</v>
      </c>
      <c r="K49" s="3" t="n">
        <v>279000</v>
      </c>
      <c r="L49" s="3" t="n">
        <v>265000</v>
      </c>
      <c r="M49" s="3" t="n">
        <v>275000</v>
      </c>
      <c r="N49" s="3" t="n">
        <v>267000</v>
      </c>
      <c r="O49" s="4">
        <f>SUM(B49:N49)</f>
        <v/>
      </c>
    </row>
    <row r="50">
      <c r="A50" s="7" t="inlineStr">
        <is>
          <t>Payroll &amp; Benefits</t>
        </is>
      </c>
      <c r="B50" s="3" t="n">
        <v>102000</v>
      </c>
      <c r="C50" s="3" t="n">
        <v>0</v>
      </c>
      <c r="D50" s="3" t="n">
        <v>102000</v>
      </c>
      <c r="E50" s="3" t="n">
        <v>0</v>
      </c>
      <c r="F50" s="3" t="n">
        <v>104000</v>
      </c>
      <c r="G50" s="3" t="n">
        <v>0</v>
      </c>
      <c r="H50" s="3" t="n">
        <v>104000</v>
      </c>
      <c r="I50" s="3" t="n">
        <v>0</v>
      </c>
      <c r="J50" s="3" t="n">
        <v>106000</v>
      </c>
      <c r="K50" s="3" t="n">
        <v>0</v>
      </c>
      <c r="L50" s="3" t="n">
        <v>106000</v>
      </c>
      <c r="M50" s="3" t="n">
        <v>0</v>
      </c>
      <c r="N50" s="3" t="n">
        <v>106000</v>
      </c>
      <c r="O50" s="4">
        <f>SUM(B50:N50)</f>
        <v/>
      </c>
    </row>
    <row r="51">
      <c r="A51" s="7" t="inlineStr">
        <is>
          <t>Facility Costs</t>
        </is>
      </c>
      <c r="B51" s="3" t="n">
        <v>68000</v>
      </c>
      <c r="C51" s="3" t="n">
        <v>0</v>
      </c>
      <c r="D51" s="3" t="n">
        <v>0</v>
      </c>
      <c r="E51" s="3" t="n">
        <v>0</v>
      </c>
      <c r="F51" s="3" t="n">
        <v>68000</v>
      </c>
      <c r="G51" s="3" t="n">
        <v>0</v>
      </c>
      <c r="H51" s="3" t="n">
        <v>0</v>
      </c>
      <c r="I51" s="3" t="n">
        <v>0</v>
      </c>
      <c r="J51" s="3" t="n">
        <v>68000</v>
      </c>
      <c r="K51" s="3" t="n">
        <v>0</v>
      </c>
      <c r="L51" s="3" t="n">
        <v>0</v>
      </c>
      <c r="M51" s="3" t="n">
        <v>0</v>
      </c>
      <c r="N51" s="3" t="n">
        <v>0</v>
      </c>
      <c r="O51" s="4">
        <f>SUM(B51:N51)</f>
        <v/>
      </c>
    </row>
    <row r="52">
      <c r="A52" s="7" t="inlineStr">
        <is>
          <t>Other OpEx</t>
        </is>
      </c>
      <c r="B52" s="3" t="n">
        <v>18000</v>
      </c>
      <c r="C52" s="3" t="n">
        <v>10000</v>
      </c>
      <c r="D52" s="3" t="n">
        <v>16000</v>
      </c>
      <c r="E52" s="3" t="n">
        <v>35000</v>
      </c>
      <c r="F52" s="3" t="n">
        <v>18000</v>
      </c>
      <c r="G52" s="3" t="n">
        <v>10000</v>
      </c>
      <c r="H52" s="3" t="n">
        <v>16000</v>
      </c>
      <c r="I52" s="3" t="n">
        <v>22000</v>
      </c>
      <c r="J52" s="3" t="n">
        <v>18000</v>
      </c>
      <c r="K52" s="3" t="n">
        <v>10000</v>
      </c>
      <c r="L52" s="3" t="n">
        <v>16000</v>
      </c>
      <c r="M52" s="3" t="n">
        <v>35000</v>
      </c>
      <c r="N52" s="3" t="n">
        <v>18000</v>
      </c>
      <c r="O52" s="4">
        <f>SUM(B52:N52)</f>
        <v/>
      </c>
    </row>
    <row r="53">
      <c r="A53" s="2" t="inlineStr">
        <is>
          <t>Total Outflows</t>
        </is>
      </c>
      <c r="B53" s="8">
        <f>B49+B50+B51+B52</f>
        <v/>
      </c>
      <c r="C53" s="8">
        <f>C49+C50+C51+C52</f>
        <v/>
      </c>
      <c r="D53" s="8">
        <f>D49+D50+D51+D52</f>
        <v/>
      </c>
      <c r="E53" s="8">
        <f>E49+E50+E51+E52</f>
        <v/>
      </c>
      <c r="F53" s="8">
        <f>F49+F50+F51+F52</f>
        <v/>
      </c>
      <c r="G53" s="8">
        <f>G49+G50+G51+G52</f>
        <v/>
      </c>
      <c r="H53" s="8">
        <f>H49+H50+H51+H52</f>
        <v/>
      </c>
      <c r="I53" s="8">
        <f>I49+I50+I51+I52</f>
        <v/>
      </c>
      <c r="J53" s="8">
        <f>J49+J50+J51+J52</f>
        <v/>
      </c>
      <c r="K53" s="8">
        <f>K49+K50+K51+K52</f>
        <v/>
      </c>
      <c r="L53" s="8">
        <f>L49+L50+L51+L52</f>
        <v/>
      </c>
      <c r="M53" s="8">
        <f>M49+M50+M51+M52</f>
        <v/>
      </c>
      <c r="N53" s="8">
        <f>N49+N50+N51+N52</f>
        <v/>
      </c>
      <c r="O53" s="8">
        <f>O49+O50+O51+O52</f>
        <v/>
      </c>
    </row>
    <row r="54" ht="6" customHeight="1"/>
    <row r="55">
      <c r="A55" s="2" t="inlineStr">
        <is>
          <t>Net Cash Flow</t>
        </is>
      </c>
      <c r="B55" s="8">
        <f>B46-B53</f>
        <v/>
      </c>
      <c r="C55" s="8">
        <f>C46-C53</f>
        <v/>
      </c>
      <c r="D55" s="8">
        <f>D46-D53</f>
        <v/>
      </c>
      <c r="E55" s="8">
        <f>E46-E53</f>
        <v/>
      </c>
      <c r="F55" s="8">
        <f>F46-F53</f>
        <v/>
      </c>
      <c r="G55" s="8">
        <f>G46-G53</f>
        <v/>
      </c>
      <c r="H55" s="8">
        <f>H46-H53</f>
        <v/>
      </c>
      <c r="I55" s="8">
        <f>I46-I53</f>
        <v/>
      </c>
      <c r="J55" s="8">
        <f>J46-J53</f>
        <v/>
      </c>
      <c r="K55" s="8">
        <f>K46-K53</f>
        <v/>
      </c>
      <c r="L55" s="8">
        <f>L46-L53</f>
        <v/>
      </c>
      <c r="M55" s="8">
        <f>M46-M53</f>
        <v/>
      </c>
      <c r="N55" s="8">
        <f>N46-N53</f>
        <v/>
      </c>
      <c r="O55" s="8">
        <f>O46-O53</f>
        <v/>
      </c>
    </row>
    <row r="56" ht="6" customHeight="1"/>
    <row r="57">
      <c r="A57" s="9" t="inlineStr">
        <is>
          <t>Closing Cash</t>
        </is>
      </c>
      <c r="B57" s="10">
        <f>B41+B55</f>
        <v/>
      </c>
      <c r="C57" s="10">
        <f>C41+C55</f>
        <v/>
      </c>
      <c r="D57" s="10">
        <f>D41+D55</f>
        <v/>
      </c>
      <c r="E57" s="10">
        <f>E41+E55</f>
        <v/>
      </c>
      <c r="F57" s="10">
        <f>F41+F55</f>
        <v/>
      </c>
      <c r="G57" s="10">
        <f>G41+G55</f>
        <v/>
      </c>
      <c r="H57" s="10">
        <f>H41+H55</f>
        <v/>
      </c>
      <c r="I57" s="10">
        <f>I41+I55</f>
        <v/>
      </c>
      <c r="J57" s="10">
        <f>J41+J55</f>
        <v/>
      </c>
      <c r="K57" s="10">
        <f>K41+K55</f>
        <v/>
      </c>
      <c r="L57" s="10">
        <f>L41+L55</f>
        <v/>
      </c>
      <c r="M57" s="10">
        <f>M41+M55</f>
        <v/>
      </c>
      <c r="N57" s="10">
        <f>N41+N55</f>
        <v/>
      </c>
      <c r="O57" s="10">
        <f>N57</f>
        <v/>
      </c>
    </row>
    <row r="58" ht="6" customHeight="1"/>
    <row r="59">
      <c r="A59" s="5" t="inlineStr">
        <is>
          <t>LAS VEGAS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2" t="inlineStr">
        <is>
          <t>Opening Cash</t>
        </is>
      </c>
      <c r="B60" s="3" t="n">
        <v>1100000</v>
      </c>
      <c r="C60" s="4">
        <f>B76</f>
        <v/>
      </c>
      <c r="D60" s="4">
        <f>C76</f>
        <v/>
      </c>
      <c r="E60" s="4">
        <f>D76</f>
        <v/>
      </c>
      <c r="F60" s="4">
        <f>E76</f>
        <v/>
      </c>
      <c r="G60" s="4">
        <f>F76</f>
        <v/>
      </c>
      <c r="H60" s="4">
        <f>G76</f>
        <v/>
      </c>
      <c r="I60" s="4">
        <f>H76</f>
        <v/>
      </c>
      <c r="J60" s="4">
        <f>I76</f>
        <v/>
      </c>
      <c r="K60" s="4">
        <f>J76</f>
        <v/>
      </c>
      <c r="L60" s="4">
        <f>K76</f>
        <v/>
      </c>
      <c r="M60" s="4">
        <f>L76</f>
        <v/>
      </c>
      <c r="N60" s="4">
        <f>M76</f>
        <v/>
      </c>
    </row>
    <row r="61" ht="6" customHeight="1"/>
    <row r="62">
      <c r="A62" s="5" t="inlineStr">
        <is>
          <t>INFLOWS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</row>
    <row r="63">
      <c r="A63" s="7" t="inlineStr">
        <is>
          <t>Customer Collections</t>
        </is>
      </c>
      <c r="B63" s="3" t="n">
        <v>305000</v>
      </c>
      <c r="C63" s="3" t="n">
        <v>325000</v>
      </c>
      <c r="D63" s="3" t="n">
        <v>298000</v>
      </c>
      <c r="E63" s="3" t="n">
        <v>333000</v>
      </c>
      <c r="F63" s="3" t="n">
        <v>313000</v>
      </c>
      <c r="G63" s="3" t="n">
        <v>340000</v>
      </c>
      <c r="H63" s="3" t="n">
        <v>310000</v>
      </c>
      <c r="I63" s="3" t="n">
        <v>330000</v>
      </c>
      <c r="J63" s="3" t="n">
        <v>320000</v>
      </c>
      <c r="K63" s="3" t="n">
        <v>355000</v>
      </c>
      <c r="L63" s="3" t="n">
        <v>328000</v>
      </c>
      <c r="M63" s="3" t="n">
        <v>348000</v>
      </c>
      <c r="N63" s="3" t="n">
        <v>325000</v>
      </c>
      <c r="O63" s="4">
        <f>SUM(B63:N63)</f>
        <v/>
      </c>
    </row>
    <row r="64">
      <c r="A64" s="7" t="inlineStr">
        <is>
          <t>Surcharges &amp; Fuel</t>
        </is>
      </c>
      <c r="B64" s="3" t="n">
        <v>40000</v>
      </c>
      <c r="C64" s="3" t="n">
        <v>37000</v>
      </c>
      <c r="D64" s="3" t="n">
        <v>41000</v>
      </c>
      <c r="E64" s="3" t="n">
        <v>38000</v>
      </c>
      <c r="F64" s="3" t="n">
        <v>40000</v>
      </c>
      <c r="G64" s="3" t="n">
        <v>37000</v>
      </c>
      <c r="H64" s="3" t="n">
        <v>42000</v>
      </c>
      <c r="I64" s="3" t="n">
        <v>39000</v>
      </c>
      <c r="J64" s="3" t="n">
        <v>41000</v>
      </c>
      <c r="K64" s="3" t="n">
        <v>38000</v>
      </c>
      <c r="L64" s="3" t="n">
        <v>43000</v>
      </c>
      <c r="M64" s="3" t="n">
        <v>40000</v>
      </c>
      <c r="N64" s="3" t="n">
        <v>41000</v>
      </c>
      <c r="O64" s="4">
        <f>SUM(B64:N64)</f>
        <v/>
      </c>
    </row>
    <row r="65">
      <c r="A65" s="2" t="inlineStr">
        <is>
          <t>Total Inflows</t>
        </is>
      </c>
      <c r="B65" s="8">
        <f>B63+B64</f>
        <v/>
      </c>
      <c r="C65" s="8">
        <f>C63+C64</f>
        <v/>
      </c>
      <c r="D65" s="8">
        <f>D63+D64</f>
        <v/>
      </c>
      <c r="E65" s="8">
        <f>E63+E64</f>
        <v/>
      </c>
      <c r="F65" s="8">
        <f>F63+F64</f>
        <v/>
      </c>
      <c r="G65" s="8">
        <f>G63+G64</f>
        <v/>
      </c>
      <c r="H65" s="8">
        <f>H63+H64</f>
        <v/>
      </c>
      <c r="I65" s="8">
        <f>I63+I64</f>
        <v/>
      </c>
      <c r="J65" s="8">
        <f>J63+J64</f>
        <v/>
      </c>
      <c r="K65" s="8">
        <f>K63+K64</f>
        <v/>
      </c>
      <c r="L65" s="8">
        <f>L63+L64</f>
        <v/>
      </c>
      <c r="M65" s="8">
        <f>M63+M64</f>
        <v/>
      </c>
      <c r="N65" s="8">
        <f>N63+N64</f>
        <v/>
      </c>
      <c r="O65" s="8">
        <f>O63+O64</f>
        <v/>
      </c>
    </row>
    <row r="66" ht="6" customHeight="1"/>
    <row r="67">
      <c r="A67" s="5" t="inlineStr">
        <is>
          <t>OUTFLOWS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7" t="inlineStr">
        <is>
          <t>Carrier Settlements</t>
        </is>
      </c>
      <c r="B68" s="3" t="n">
        <v>198000</v>
      </c>
      <c r="C68" s="3" t="n">
        <v>204000</v>
      </c>
      <c r="D68" s="3" t="n">
        <v>194000</v>
      </c>
      <c r="E68" s="3" t="n">
        <v>202000</v>
      </c>
      <c r="F68" s="3" t="n">
        <v>200000</v>
      </c>
      <c r="G68" s="3" t="n">
        <v>208000</v>
      </c>
      <c r="H68" s="3" t="n">
        <v>197000</v>
      </c>
      <c r="I68" s="3" t="n">
        <v>203000</v>
      </c>
      <c r="J68" s="3" t="n">
        <v>201000</v>
      </c>
      <c r="K68" s="3" t="n">
        <v>209000</v>
      </c>
      <c r="L68" s="3" t="n">
        <v>198000</v>
      </c>
      <c r="M68" s="3" t="n">
        <v>206000</v>
      </c>
      <c r="N68" s="3" t="n">
        <v>200000</v>
      </c>
      <c r="O68" s="4">
        <f>SUM(B68:N68)</f>
        <v/>
      </c>
    </row>
    <row r="69">
      <c r="A69" s="7" t="inlineStr">
        <is>
          <t>Payroll &amp; Benefits</t>
        </is>
      </c>
      <c r="B69" s="3" t="n">
        <v>72000</v>
      </c>
      <c r="C69" s="3" t="n">
        <v>0</v>
      </c>
      <c r="D69" s="3" t="n">
        <v>72000</v>
      </c>
      <c r="E69" s="3" t="n">
        <v>0</v>
      </c>
      <c r="F69" s="3" t="n">
        <v>73000</v>
      </c>
      <c r="G69" s="3" t="n">
        <v>0</v>
      </c>
      <c r="H69" s="3" t="n">
        <v>73000</v>
      </c>
      <c r="I69" s="3" t="n">
        <v>0</v>
      </c>
      <c r="J69" s="3" t="n">
        <v>75000</v>
      </c>
      <c r="K69" s="3" t="n">
        <v>0</v>
      </c>
      <c r="L69" s="3" t="n">
        <v>75000</v>
      </c>
      <c r="M69" s="3" t="n">
        <v>0</v>
      </c>
      <c r="N69" s="3" t="n">
        <v>75000</v>
      </c>
      <c r="O69" s="4">
        <f>SUM(B69:N69)</f>
        <v/>
      </c>
    </row>
    <row r="70">
      <c r="A70" s="7" t="inlineStr">
        <is>
          <t>Facility Costs</t>
        </is>
      </c>
      <c r="B70" s="3" t="n">
        <v>48000</v>
      </c>
      <c r="C70" s="3" t="n">
        <v>0</v>
      </c>
      <c r="D70" s="3" t="n">
        <v>0</v>
      </c>
      <c r="E70" s="3" t="n">
        <v>0</v>
      </c>
      <c r="F70" s="3" t="n">
        <v>48000</v>
      </c>
      <c r="G70" s="3" t="n">
        <v>0</v>
      </c>
      <c r="H70" s="3" t="n">
        <v>0</v>
      </c>
      <c r="I70" s="3" t="n">
        <v>0</v>
      </c>
      <c r="J70" s="3" t="n">
        <v>48000</v>
      </c>
      <c r="K70" s="3" t="n">
        <v>0</v>
      </c>
      <c r="L70" s="3" t="n">
        <v>0</v>
      </c>
      <c r="M70" s="3" t="n">
        <v>0</v>
      </c>
      <c r="N70" s="3" t="n">
        <v>0</v>
      </c>
      <c r="O70" s="4">
        <f>SUM(B70:N70)</f>
        <v/>
      </c>
    </row>
    <row r="71">
      <c r="A71" s="7" t="inlineStr">
        <is>
          <t>Other OpEx</t>
        </is>
      </c>
      <c r="B71" s="3" t="n">
        <v>12000</v>
      </c>
      <c r="C71" s="3" t="n">
        <v>8000</v>
      </c>
      <c r="D71" s="3" t="n">
        <v>12000</v>
      </c>
      <c r="E71" s="3" t="n">
        <v>26000</v>
      </c>
      <c r="F71" s="3" t="n">
        <v>12000</v>
      </c>
      <c r="G71" s="3" t="n">
        <v>8000</v>
      </c>
      <c r="H71" s="3" t="n">
        <v>12000</v>
      </c>
      <c r="I71" s="3" t="n">
        <v>18000</v>
      </c>
      <c r="J71" s="3" t="n">
        <v>12000</v>
      </c>
      <c r="K71" s="3" t="n">
        <v>8000</v>
      </c>
      <c r="L71" s="3" t="n">
        <v>12000</v>
      </c>
      <c r="M71" s="3" t="n">
        <v>26000</v>
      </c>
      <c r="N71" s="3" t="n">
        <v>12000</v>
      </c>
      <c r="O71" s="4">
        <f>SUM(B71:N71)</f>
        <v/>
      </c>
    </row>
    <row r="72">
      <c r="A72" s="2" t="inlineStr">
        <is>
          <t>Total Outflows</t>
        </is>
      </c>
      <c r="B72" s="8">
        <f>B68+B69+B70+B71</f>
        <v/>
      </c>
      <c r="C72" s="8">
        <f>C68+C69+C70+C71</f>
        <v/>
      </c>
      <c r="D72" s="8">
        <f>D68+D69+D70+D71</f>
        <v/>
      </c>
      <c r="E72" s="8">
        <f>E68+E69+E70+E71</f>
        <v/>
      </c>
      <c r="F72" s="8">
        <f>F68+F69+F70+F71</f>
        <v/>
      </c>
      <c r="G72" s="8">
        <f>G68+G69+G70+G71</f>
        <v/>
      </c>
      <c r="H72" s="8">
        <f>H68+H69+H70+H71</f>
        <v/>
      </c>
      <c r="I72" s="8">
        <f>I68+I69+I70+I71</f>
        <v/>
      </c>
      <c r="J72" s="8">
        <f>J68+J69+J70+J71</f>
        <v/>
      </c>
      <c r="K72" s="8">
        <f>K68+K69+K70+K71</f>
        <v/>
      </c>
      <c r="L72" s="8">
        <f>L68+L69+L70+L71</f>
        <v/>
      </c>
      <c r="M72" s="8">
        <f>M68+M69+M70+M71</f>
        <v/>
      </c>
      <c r="N72" s="8">
        <f>N68+N69+N70+N71</f>
        <v/>
      </c>
      <c r="O72" s="8">
        <f>O68+O69+O70+O71</f>
        <v/>
      </c>
    </row>
    <row r="73" ht="6" customHeight="1"/>
    <row r="74">
      <c r="A74" s="2" t="inlineStr">
        <is>
          <t>Net Cash Flow</t>
        </is>
      </c>
      <c r="B74" s="8">
        <f>B65-B72</f>
        <v/>
      </c>
      <c r="C74" s="8">
        <f>C65-C72</f>
        <v/>
      </c>
      <c r="D74" s="8">
        <f>D65-D72</f>
        <v/>
      </c>
      <c r="E74" s="8">
        <f>E65-E72</f>
        <v/>
      </c>
      <c r="F74" s="8">
        <f>F65-F72</f>
        <v/>
      </c>
      <c r="G74" s="8">
        <f>G65-G72</f>
        <v/>
      </c>
      <c r="H74" s="8">
        <f>H65-H72</f>
        <v/>
      </c>
      <c r="I74" s="8">
        <f>I65-I72</f>
        <v/>
      </c>
      <c r="J74" s="8">
        <f>J65-J72</f>
        <v/>
      </c>
      <c r="K74" s="8">
        <f>K65-K72</f>
        <v/>
      </c>
      <c r="L74" s="8">
        <f>L65-L72</f>
        <v/>
      </c>
      <c r="M74" s="8">
        <f>M65-M72</f>
        <v/>
      </c>
      <c r="N74" s="8">
        <f>N65-N72</f>
        <v/>
      </c>
      <c r="O74" s="8">
        <f>O65-O72</f>
        <v/>
      </c>
    </row>
    <row r="75" ht="6" customHeight="1"/>
    <row r="76">
      <c r="A76" s="9" t="inlineStr">
        <is>
          <t>Closing Cash</t>
        </is>
      </c>
      <c r="B76" s="10">
        <f>B60+B74</f>
        <v/>
      </c>
      <c r="C76" s="10">
        <f>C60+C74</f>
        <v/>
      </c>
      <c r="D76" s="10">
        <f>D60+D74</f>
        <v/>
      </c>
      <c r="E76" s="10">
        <f>E60+E74</f>
        <v/>
      </c>
      <c r="F76" s="10">
        <f>F60+F74</f>
        <v/>
      </c>
      <c r="G76" s="10">
        <f>G60+G74</f>
        <v/>
      </c>
      <c r="H76" s="10">
        <f>H60+H74</f>
        <v/>
      </c>
      <c r="I76" s="10">
        <f>I60+I74</f>
        <v/>
      </c>
      <c r="J76" s="10">
        <f>J60+J74</f>
        <v/>
      </c>
      <c r="K76" s="10">
        <f>K60+K74</f>
        <v/>
      </c>
      <c r="L76" s="10">
        <f>L60+L74</f>
        <v/>
      </c>
      <c r="M76" s="10">
        <f>M60+M74</f>
        <v/>
      </c>
      <c r="N76" s="10">
        <f>N60+N74</f>
        <v/>
      </c>
      <c r="O76" s="10">
        <f>N76</f>
        <v/>
      </c>
    </row>
    <row r="77" ht="6" customHeight="1"/>
    <row r="78">
      <c r="A78" s="5" t="inlineStr">
        <is>
          <t>YORK PA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</row>
    <row r="79">
      <c r="A79" s="2" t="inlineStr">
        <is>
          <t>Opening Cash</t>
        </is>
      </c>
      <c r="B79" s="3" t="n">
        <v>900000</v>
      </c>
      <c r="C79" s="4">
        <f>B95</f>
        <v/>
      </c>
      <c r="D79" s="4">
        <f>C95</f>
        <v/>
      </c>
      <c r="E79" s="4">
        <f>D95</f>
        <v/>
      </c>
      <c r="F79" s="4">
        <f>E95</f>
        <v/>
      </c>
      <c r="G79" s="4">
        <f>F95</f>
        <v/>
      </c>
      <c r="H79" s="4">
        <f>G95</f>
        <v/>
      </c>
      <c r="I79" s="4">
        <f>H95</f>
        <v/>
      </c>
      <c r="J79" s="4">
        <f>I95</f>
        <v/>
      </c>
      <c r="K79" s="4">
        <f>J95</f>
        <v/>
      </c>
      <c r="L79" s="4">
        <f>K95</f>
        <v/>
      </c>
      <c r="M79" s="4">
        <f>L95</f>
        <v/>
      </c>
      <c r="N79" s="4">
        <f>M95</f>
        <v/>
      </c>
    </row>
    <row r="80" ht="6" customHeight="1"/>
    <row r="81">
      <c r="A81" s="5" t="inlineStr">
        <is>
          <t>INFLOWS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7" t="inlineStr">
        <is>
          <t>Customer Collections</t>
        </is>
      </c>
      <c r="B82" s="3" t="n">
        <v>290000</v>
      </c>
      <c r="C82" s="3" t="n">
        <v>308000</v>
      </c>
      <c r="D82" s="3" t="n">
        <v>282000</v>
      </c>
      <c r="E82" s="3" t="n">
        <v>316000</v>
      </c>
      <c r="F82" s="3" t="n">
        <v>296000</v>
      </c>
      <c r="G82" s="3" t="n">
        <v>322000</v>
      </c>
      <c r="H82" s="3" t="n">
        <v>293000</v>
      </c>
      <c r="I82" s="3" t="n">
        <v>312000</v>
      </c>
      <c r="J82" s="3" t="n">
        <v>303000</v>
      </c>
      <c r="K82" s="3" t="n">
        <v>337000</v>
      </c>
      <c r="L82" s="3" t="n">
        <v>310000</v>
      </c>
      <c r="M82" s="3" t="n">
        <v>330000</v>
      </c>
      <c r="N82" s="3" t="n">
        <v>308000</v>
      </c>
      <c r="O82" s="4">
        <f>SUM(B82:N82)</f>
        <v/>
      </c>
    </row>
    <row r="83">
      <c r="A83" s="7" t="inlineStr">
        <is>
          <t>Surcharges &amp; Fuel</t>
        </is>
      </c>
      <c r="B83" s="3" t="n">
        <v>38000</v>
      </c>
      <c r="C83" s="3" t="n">
        <v>35000</v>
      </c>
      <c r="D83" s="3" t="n">
        <v>39000</v>
      </c>
      <c r="E83" s="3" t="n">
        <v>36000</v>
      </c>
      <c r="F83" s="3" t="n">
        <v>38000</v>
      </c>
      <c r="G83" s="3" t="n">
        <v>35000</v>
      </c>
      <c r="H83" s="3" t="n">
        <v>40000</v>
      </c>
      <c r="I83" s="3" t="n">
        <v>37000</v>
      </c>
      <c r="J83" s="3" t="n">
        <v>39000</v>
      </c>
      <c r="K83" s="3" t="n">
        <v>36000</v>
      </c>
      <c r="L83" s="3" t="n">
        <v>41000</v>
      </c>
      <c r="M83" s="3" t="n">
        <v>38000</v>
      </c>
      <c r="N83" s="3" t="n">
        <v>39000</v>
      </c>
      <c r="O83" s="4">
        <f>SUM(B83:N83)</f>
        <v/>
      </c>
    </row>
    <row r="84">
      <c r="A84" s="2" t="inlineStr">
        <is>
          <t>Total Inflows</t>
        </is>
      </c>
      <c r="B84" s="8">
        <f>B82+B83</f>
        <v/>
      </c>
      <c r="C84" s="8">
        <f>C82+C83</f>
        <v/>
      </c>
      <c r="D84" s="8">
        <f>D82+D83</f>
        <v/>
      </c>
      <c r="E84" s="8">
        <f>E82+E83</f>
        <v/>
      </c>
      <c r="F84" s="8">
        <f>F82+F83</f>
        <v/>
      </c>
      <c r="G84" s="8">
        <f>G82+G83</f>
        <v/>
      </c>
      <c r="H84" s="8">
        <f>H82+H83</f>
        <v/>
      </c>
      <c r="I84" s="8">
        <f>I82+I83</f>
        <v/>
      </c>
      <c r="J84" s="8">
        <f>J82+J83</f>
        <v/>
      </c>
      <c r="K84" s="8">
        <f>K82+K83</f>
        <v/>
      </c>
      <c r="L84" s="8">
        <f>L82+L83</f>
        <v/>
      </c>
      <c r="M84" s="8">
        <f>M82+M83</f>
        <v/>
      </c>
      <c r="N84" s="8">
        <f>N82+N83</f>
        <v/>
      </c>
      <c r="O84" s="8">
        <f>O82+O83</f>
        <v/>
      </c>
    </row>
    <row r="85" ht="6" customHeight="1"/>
    <row r="86">
      <c r="A86" s="5" t="inlineStr">
        <is>
          <t>OUTFLOWS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</row>
    <row r="87">
      <c r="A87" s="7" t="inlineStr">
        <is>
          <t>Carrier Settlements</t>
        </is>
      </c>
      <c r="B87" s="3" t="n">
        <v>188000</v>
      </c>
      <c r="C87" s="3" t="n">
        <v>194000</v>
      </c>
      <c r="D87" s="3" t="n">
        <v>184000</v>
      </c>
      <c r="E87" s="3" t="n">
        <v>192000</v>
      </c>
      <c r="F87" s="3" t="n">
        <v>190000</v>
      </c>
      <c r="G87" s="3" t="n">
        <v>197000</v>
      </c>
      <c r="H87" s="3" t="n">
        <v>187000</v>
      </c>
      <c r="I87" s="3" t="n">
        <v>193000</v>
      </c>
      <c r="J87" s="3" t="n">
        <v>191000</v>
      </c>
      <c r="K87" s="3" t="n">
        <v>198000</v>
      </c>
      <c r="L87" s="3" t="n">
        <v>188000</v>
      </c>
      <c r="M87" s="3" t="n">
        <v>196000</v>
      </c>
      <c r="N87" s="3" t="n">
        <v>190000</v>
      </c>
      <c r="O87" s="4">
        <f>SUM(B87:N87)</f>
        <v/>
      </c>
    </row>
    <row r="88">
      <c r="A88" s="7" t="inlineStr">
        <is>
          <t>Payroll &amp; Benefits</t>
        </is>
      </c>
      <c r="B88" s="3" t="n">
        <v>68000</v>
      </c>
      <c r="C88" s="3" t="n">
        <v>0</v>
      </c>
      <c r="D88" s="3" t="n">
        <v>68000</v>
      </c>
      <c r="E88" s="3" t="n">
        <v>0</v>
      </c>
      <c r="F88" s="3" t="n">
        <v>69000</v>
      </c>
      <c r="G88" s="3" t="n">
        <v>0</v>
      </c>
      <c r="H88" s="3" t="n">
        <v>69000</v>
      </c>
      <c r="I88" s="3" t="n">
        <v>0</v>
      </c>
      <c r="J88" s="3" t="n">
        <v>71000</v>
      </c>
      <c r="K88" s="3" t="n">
        <v>0</v>
      </c>
      <c r="L88" s="3" t="n">
        <v>71000</v>
      </c>
      <c r="M88" s="3" t="n">
        <v>0</v>
      </c>
      <c r="N88" s="3" t="n">
        <v>71000</v>
      </c>
      <c r="O88" s="4">
        <f>SUM(B88:N88)</f>
        <v/>
      </c>
    </row>
    <row r="89">
      <c r="A89" s="7" t="inlineStr">
        <is>
          <t>Facility Costs</t>
        </is>
      </c>
      <c r="B89" s="3" t="n">
        <v>42000</v>
      </c>
      <c r="C89" s="3" t="n">
        <v>0</v>
      </c>
      <c r="D89" s="3" t="n">
        <v>0</v>
      </c>
      <c r="E89" s="3" t="n">
        <v>0</v>
      </c>
      <c r="F89" s="3" t="n">
        <v>42000</v>
      </c>
      <c r="G89" s="3" t="n">
        <v>0</v>
      </c>
      <c r="H89" s="3" t="n">
        <v>0</v>
      </c>
      <c r="I89" s="3" t="n">
        <v>0</v>
      </c>
      <c r="J89" s="3" t="n">
        <v>42000</v>
      </c>
      <c r="K89" s="3" t="n">
        <v>0</v>
      </c>
      <c r="L89" s="3" t="n">
        <v>0</v>
      </c>
      <c r="M89" s="3" t="n">
        <v>0</v>
      </c>
      <c r="N89" s="3" t="n">
        <v>0</v>
      </c>
      <c r="O89" s="4">
        <f>SUM(B89:N89)</f>
        <v/>
      </c>
    </row>
    <row r="90">
      <c r="A90" s="7" t="inlineStr">
        <is>
          <t>Other OpEx</t>
        </is>
      </c>
      <c r="B90" s="3" t="n">
        <v>10000</v>
      </c>
      <c r="C90" s="3" t="n">
        <v>7000</v>
      </c>
      <c r="D90" s="3" t="n">
        <v>10000</v>
      </c>
      <c r="E90" s="3" t="n">
        <v>24000</v>
      </c>
      <c r="F90" s="3" t="n">
        <v>10000</v>
      </c>
      <c r="G90" s="3" t="n">
        <v>7000</v>
      </c>
      <c r="H90" s="3" t="n">
        <v>10000</v>
      </c>
      <c r="I90" s="3" t="n">
        <v>16000</v>
      </c>
      <c r="J90" s="3" t="n">
        <v>10000</v>
      </c>
      <c r="K90" s="3" t="n">
        <v>7000</v>
      </c>
      <c r="L90" s="3" t="n">
        <v>10000</v>
      </c>
      <c r="M90" s="3" t="n">
        <v>24000</v>
      </c>
      <c r="N90" s="3" t="n">
        <v>10000</v>
      </c>
      <c r="O90" s="4">
        <f>SUM(B90:N90)</f>
        <v/>
      </c>
    </row>
    <row r="91">
      <c r="A91" s="2" t="inlineStr">
        <is>
          <t>Total Outflows</t>
        </is>
      </c>
      <c r="B91" s="8">
        <f>B87+B88+B89+B90</f>
        <v/>
      </c>
      <c r="C91" s="8">
        <f>C87+C88+C89+C90</f>
        <v/>
      </c>
      <c r="D91" s="8">
        <f>D87+D88+D89+D90</f>
        <v/>
      </c>
      <c r="E91" s="8">
        <f>E87+E88+E89+E90</f>
        <v/>
      </c>
      <c r="F91" s="8">
        <f>F87+F88+F89+F90</f>
        <v/>
      </c>
      <c r="G91" s="8">
        <f>G87+G88+G89+G90</f>
        <v/>
      </c>
      <c r="H91" s="8">
        <f>H87+H88+H89+H90</f>
        <v/>
      </c>
      <c r="I91" s="8">
        <f>I87+I88+I89+I90</f>
        <v/>
      </c>
      <c r="J91" s="8">
        <f>J87+J88+J89+J90</f>
        <v/>
      </c>
      <c r="K91" s="8">
        <f>K87+K88+K89+K90</f>
        <v/>
      </c>
      <c r="L91" s="8">
        <f>L87+L88+L89+L90</f>
        <v/>
      </c>
      <c r="M91" s="8">
        <f>M87+M88+M89+M90</f>
        <v/>
      </c>
      <c r="N91" s="8">
        <f>N87+N88+N89+N90</f>
        <v/>
      </c>
      <c r="O91" s="8">
        <f>O87+O88+O89+O90</f>
        <v/>
      </c>
    </row>
    <row r="92" ht="6" customHeight="1"/>
    <row r="93">
      <c r="A93" s="2" t="inlineStr">
        <is>
          <t>Net Cash Flow</t>
        </is>
      </c>
      <c r="B93" s="8">
        <f>B84-B91</f>
        <v/>
      </c>
      <c r="C93" s="8">
        <f>C84-C91</f>
        <v/>
      </c>
      <c r="D93" s="8">
        <f>D84-D91</f>
        <v/>
      </c>
      <c r="E93" s="8">
        <f>E84-E91</f>
        <v/>
      </c>
      <c r="F93" s="8">
        <f>F84-F91</f>
        <v/>
      </c>
      <c r="G93" s="8">
        <f>G84-G91</f>
        <v/>
      </c>
      <c r="H93" s="8">
        <f>H84-H91</f>
        <v/>
      </c>
      <c r="I93" s="8">
        <f>I84-I91</f>
        <v/>
      </c>
      <c r="J93" s="8">
        <f>J84-J91</f>
        <v/>
      </c>
      <c r="K93" s="8">
        <f>K84-K91</f>
        <v/>
      </c>
      <c r="L93" s="8">
        <f>L84-L91</f>
        <v/>
      </c>
      <c r="M93" s="8">
        <f>M84-M91</f>
        <v/>
      </c>
      <c r="N93" s="8">
        <f>N84-N91</f>
        <v/>
      </c>
      <c r="O93" s="8">
        <f>O84-O91</f>
        <v/>
      </c>
    </row>
    <row r="94" ht="6" customHeight="1"/>
    <row r="95">
      <c r="A95" s="9" t="inlineStr">
        <is>
          <t>Closing Cash</t>
        </is>
      </c>
      <c r="B95" s="10">
        <f>B79+B93</f>
        <v/>
      </c>
      <c r="C95" s="10">
        <f>C79+C93</f>
        <v/>
      </c>
      <c r="D95" s="10">
        <f>D79+D93</f>
        <v/>
      </c>
      <c r="E95" s="10">
        <f>E79+E93</f>
        <v/>
      </c>
      <c r="F95" s="10">
        <f>F79+F93</f>
        <v/>
      </c>
      <c r="G95" s="10">
        <f>G79+G93</f>
        <v/>
      </c>
      <c r="H95" s="10">
        <f>H79+H93</f>
        <v/>
      </c>
      <c r="I95" s="10">
        <f>I79+I93</f>
        <v/>
      </c>
      <c r="J95" s="10">
        <f>J79+J93</f>
        <v/>
      </c>
      <c r="K95" s="10">
        <f>K79+K93</f>
        <v/>
      </c>
      <c r="L95" s="10">
        <f>L79+L93</f>
        <v/>
      </c>
      <c r="M95" s="10">
        <f>M79+M93</f>
        <v/>
      </c>
      <c r="N95" s="10">
        <f>N79+N93</f>
        <v/>
      </c>
      <c r="O95" s="10">
        <f>N95</f>
        <v/>
      </c>
    </row>
    <row r="96" ht="6" customHeight="1"/>
  </sheetData>
  <conditionalFormatting sqref="B19:N19">
    <cfRule type="cellIs" priority="1" operator="lessThan" dxfId="0">
      <formula>0</formula>
    </cfRule>
  </conditionalFormatting>
  <conditionalFormatting sqref="B38:N38">
    <cfRule type="cellIs" priority="2" operator="lessThan" dxfId="0">
      <formula>0</formula>
    </cfRule>
  </conditionalFormatting>
  <conditionalFormatting sqref="B57:N57">
    <cfRule type="cellIs" priority="3" operator="lessThan" dxfId="0">
      <formula>0</formula>
    </cfRule>
  </conditionalFormatting>
  <conditionalFormatting sqref="B76:N76">
    <cfRule type="cellIs" priority="4" operator="lessThan" dxfId="0">
      <formula>0</formula>
    </cfRule>
  </conditionalFormatting>
  <conditionalFormatting sqref="B95:N95">
    <cfRule type="cellIs" priority="5" operator="lessThan" dxfId="0">
      <formula>0</formula>
    </cfRule>
  </conditionalFormatting>
  <pageMargins left="0.75" right="0.75" top="1" bottom="1" header="0.5" footer="0.5"/>
  <pageSetup orientation="landscape" fitToHeight="0" fitToWidth="1"/>
  <headerFooter>
    <oddHeader>&amp;L&amp;"Calibri,Bold"&amp;14 OSM Worldwide&amp;C&amp;"Calibri"&amp;11 13-Week Cash Flow — By Entity&amp;R&amp;"Calibri"&amp;9 Prepared by 1404 Labs</oddHeader>
    <oddFooter>&amp;L&amp;8 CONFIDENTIAL&amp;R&amp;8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40" customWidth="1" min="3" max="3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Notes</t>
        </is>
      </c>
    </row>
    <row r="2">
      <c r="A2" s="5" t="inlineStr">
        <is>
          <t>GENERAL</t>
        </is>
      </c>
      <c r="B2" s="6" t="n"/>
      <c r="C2" s="6" t="n"/>
    </row>
    <row r="3">
      <c r="A3" s="7" t="inlineStr">
        <is>
          <t>Report Date</t>
        </is>
      </c>
      <c r="B3" s="11" t="inlineStr">
        <is>
          <t>2026-04-07</t>
        </is>
      </c>
      <c r="C3" s="12" t="inlineStr"/>
    </row>
    <row r="4">
      <c r="A4" s="7" t="inlineStr">
        <is>
          <t>Opening Cash</t>
        </is>
      </c>
      <c r="B4" s="13" t="n">
        <v>8200000</v>
      </c>
      <c r="C4" s="12" t="inlineStr"/>
    </row>
    <row r="5">
      <c r="A5" s="7" t="inlineStr">
        <is>
          <t>Number of Weeks</t>
        </is>
      </c>
      <c r="B5" s="14" t="n">
        <v>13</v>
      </c>
      <c r="C5" s="12" t="inlineStr"/>
    </row>
    <row r="6" ht="6" customHeight="1"/>
    <row r="7">
      <c r="A7" s="5" t="inlineStr">
        <is>
          <t>INFLOW CATEGORIES</t>
        </is>
      </c>
      <c r="B7" s="6" t="n"/>
      <c r="C7" s="6" t="n"/>
    </row>
    <row r="8">
      <c r="A8" s="7" t="inlineStr">
        <is>
          <t>Customer Collections (Net-30)</t>
        </is>
      </c>
      <c r="B8" s="13" t="n">
        <v>29760000</v>
      </c>
      <c r="C8" s="12" t="inlineStr">
        <is>
          <t>13-week total</t>
        </is>
      </c>
    </row>
    <row r="9">
      <c r="A9" s="7" t="inlineStr">
        <is>
          <t>Expedited Shipping Surcharges</t>
        </is>
      </c>
      <c r="B9" s="13" t="n">
        <v>2380000</v>
      </c>
      <c r="C9" s="12" t="inlineStr">
        <is>
          <t>13-week total</t>
        </is>
      </c>
    </row>
    <row r="10">
      <c r="A10" s="7" t="inlineStr">
        <is>
          <t>Fuel Surcharge Pass-Through</t>
        </is>
      </c>
      <c r="B10" s="13" t="n">
        <v>1199000</v>
      </c>
      <c r="C10" s="12" t="inlineStr">
        <is>
          <t>13-week total</t>
        </is>
      </c>
    </row>
    <row r="11">
      <c r="A11" s="7" t="inlineStr">
        <is>
          <t>Other Revenue (Insurance Claims, Credits)</t>
        </is>
      </c>
      <c r="B11" s="13" t="n">
        <v>80000</v>
      </c>
      <c r="C11" s="12" t="inlineStr">
        <is>
          <t>13-week total</t>
        </is>
      </c>
    </row>
    <row r="12" ht="6" customHeight="1"/>
    <row r="13">
      <c r="A13" s="5" t="inlineStr">
        <is>
          <t>OUTFLOW CATEGORIES</t>
        </is>
      </c>
      <c r="B13" s="6" t="n"/>
      <c r="C13" s="6" t="n"/>
    </row>
    <row r="14">
      <c r="A14" s="7" t="inlineStr">
        <is>
          <t>Carrier Settlements (Weekly)</t>
        </is>
      </c>
      <c r="B14" s="13" t="n">
        <v>18210000</v>
      </c>
      <c r="C14" s="12" t="inlineStr">
        <is>
          <t>13-week total</t>
        </is>
      </c>
    </row>
    <row r="15">
      <c r="A15" s="7" t="inlineStr">
        <is>
          <t>Payroll &amp; Benefits (Bi-Weekly)</t>
        </is>
      </c>
      <c r="B15" s="13" t="n">
        <v>3720000</v>
      </c>
      <c r="C15" s="12" t="inlineStr">
        <is>
          <t>13-week total</t>
        </is>
      </c>
    </row>
    <row r="16">
      <c r="A16" s="7" t="inlineStr">
        <is>
          <t>Facility Lease Payments (Monthly)</t>
        </is>
      </c>
      <c r="B16" s="13" t="n">
        <v>1155000</v>
      </c>
      <c r="C16" s="12" t="inlineStr">
        <is>
          <t>13-week total</t>
        </is>
      </c>
    </row>
    <row r="17">
      <c r="A17" s="7" t="inlineStr">
        <is>
          <t>Technology &amp; Software</t>
        </is>
      </c>
      <c r="B17" s="13" t="n">
        <v>279000</v>
      </c>
      <c r="C17" s="12" t="inlineStr">
        <is>
          <t>13-week total</t>
        </is>
      </c>
    </row>
    <row r="18">
      <c r="A18" s="7" t="inlineStr">
        <is>
          <t>Insurance Premiums</t>
        </is>
      </c>
      <c r="B18" s="13" t="n">
        <v>324000</v>
      </c>
      <c r="C18" s="12" t="inlineStr">
        <is>
          <t>13-week total</t>
        </is>
      </c>
    </row>
    <row r="19">
      <c r="A19" s="7" t="inlineStr">
        <is>
          <t>Equipment &amp; Vehicle Leases</t>
        </is>
      </c>
      <c r="B19" s="13" t="n">
        <v>255000</v>
      </c>
      <c r="C19" s="12" t="inlineStr">
        <is>
          <t>13-week total</t>
        </is>
      </c>
    </row>
    <row r="20">
      <c r="A20" s="7" t="inlineStr">
        <is>
          <t>Term Loan Payment</t>
        </is>
      </c>
      <c r="B20" s="13" t="n">
        <v>200000</v>
      </c>
      <c r="C20" s="12" t="inlineStr">
        <is>
          <t>13-week total</t>
        </is>
      </c>
    </row>
    <row r="21">
      <c r="A21" s="7" t="inlineStr">
        <is>
          <t>Other Operating Expenses</t>
        </is>
      </c>
      <c r="B21" s="13" t="n">
        <v>710000</v>
      </c>
      <c r="C21" s="12" t="inlineStr">
        <is>
          <t>13-week total</t>
        </is>
      </c>
    </row>
    <row r="22" ht="6" customHeight="1"/>
    <row r="23">
      <c r="A23" s="5" t="inlineStr">
        <is>
          <t>ENTITIES</t>
        </is>
      </c>
      <c r="B23" s="6" t="n"/>
      <c r="C23" s="6" t="n"/>
    </row>
    <row r="24">
      <c r="A24" s="7" t="inlineStr">
        <is>
          <t>Chicago HQ</t>
        </is>
      </c>
      <c r="B24" s="13" t="n">
        <v>2800000</v>
      </c>
      <c r="C24" s="12" t="inlineStr">
        <is>
          <t>Opening cash</t>
        </is>
      </c>
    </row>
    <row r="25">
      <c r="A25" s="7" t="inlineStr">
        <is>
          <t>Atlanta</t>
        </is>
      </c>
      <c r="B25" s="13" t="n">
        <v>1900000</v>
      </c>
      <c r="C25" s="12" t="inlineStr">
        <is>
          <t>Opening cash</t>
        </is>
      </c>
    </row>
    <row r="26">
      <c r="A26" s="7" t="inlineStr">
        <is>
          <t>Dallas</t>
        </is>
      </c>
      <c r="B26" s="13" t="n">
        <v>1500000</v>
      </c>
      <c r="C26" s="12" t="inlineStr">
        <is>
          <t>Opening cash</t>
        </is>
      </c>
    </row>
    <row r="27">
      <c r="A27" s="7" t="inlineStr">
        <is>
          <t>Las Vegas</t>
        </is>
      </c>
      <c r="B27" s="13" t="n">
        <v>1100000</v>
      </c>
      <c r="C27" s="12" t="inlineStr">
        <is>
          <t>Opening cash</t>
        </is>
      </c>
    </row>
    <row r="28">
      <c r="A28" s="7" t="inlineStr">
        <is>
          <t>York PA</t>
        </is>
      </c>
      <c r="B28" s="13" t="n">
        <v>900000</v>
      </c>
      <c r="C28" s="12" t="inlineStr">
        <is>
          <t>Opening cash</t>
        </is>
      </c>
    </row>
  </sheetData>
  <pageMargins left="0.75" right="0.75" top="1" bottom="1" header="0.5" footer="0.5"/>
  <pageSetup orientation="landscape" fitToHeight="0" fitToWidth="1"/>
  <headerFooter>
    <oddHeader>&amp;L&amp;"Calibri,Bold"&amp;14 OSM Worldwide&amp;C&amp;"Calibri"&amp;11 13-Week Cash Flow — Assumptions&amp;R&amp;"Calibri"&amp;9 Prepared by 1404 Labs</oddHeader>
    <oddFooter>&amp;L&amp;8 CONFIDENTIAL&amp;R&amp;8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1404 Labs</dc:creator>
  <dc:title xmlns:dc="http://purl.org/dc/elements/1.1/">OSM Worldwide — 13-Week Cash Flow Forecast</dc:title>
  <dc:subject xmlns:dc="http://purl.org/dc/elements/1.1/">13-Week Rolling Cash Flow Forecast — April through June 2026</dc:subject>
  <dcterms:created xmlns:dcterms="http://purl.org/dc/terms/" xmlns:xsi="http://www.w3.org/2001/XMLSchema-instance" xsi:type="dcterms:W3CDTF">2026-04-10T19:03:08Z</dcterms:created>
  <dcterms:modified xmlns:dcterms="http://purl.org/dc/terms/" xmlns:xsi="http://www.w3.org/2001/XMLSchema-instance" xsi:type="dcterms:W3CDTF">2026-04-12T19:06:42Z</dcterms:modified>
</cp:coreProperties>
</file>