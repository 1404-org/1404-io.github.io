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Forecas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cenario Analysis" sheetId="3" state="visible" r:id="rId3"/>
  </sheets>
  <definedNames>
    <definedName name="TotalCashInflows">'Cash Flow Forecast'!$P$17</definedName>
    <definedName name="TotalCashOutflows">'Cash Flow Forecast'!$P$35</definedName>
    <definedName name="NetCashFlow">'Cash Flow Forecast'!$P38</definedName>
    <definedName name="EndingCashW13">'Cash Flow Forecast'!$O$39</definedName>
    <definedName name="OpeningCash">'Cash Flow Forecast'!$C$37</definedName>
    <definedName name="EffectiveLiquidity">'Cash Flow Forecast'!$O$44</definedName>
    <definedName name="_xlnm.Print_Titles" localSheetId="0">'Cash Flow Forecast'!$1:$6,'Cash Flow Forecast'!$A:$B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;($#,##0);&quot;-&quot;"/>
  </numFmts>
  <fonts count="13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b val="1"/>
      <color rgb="00111010"/>
      <sz val="10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i val="1"/>
      <color rgb="009a948c"/>
      <sz val="9"/>
    </font>
    <font>
      <name val="Inter"/>
      <i val="1"/>
      <color rgb="009a948c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E8F4FD"/>
        <bgColor rgb="00E8F4FD"/>
      </patternFill>
    </fill>
  </fills>
  <borders count="5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thin">
        <color rgb="00000000"/>
      </top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pivotButton="0" quotePrefix="0" xfId="0"/>
    <xf numFmtId="0" fontId="0" fillId="0" borderId="2" pivotButton="0" quotePrefix="0" xfId="0"/>
    <xf numFmtId="0" fontId="6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right" vertical="center" wrapText="1"/>
    </xf>
    <xf numFmtId="164" fontId="7" fillId="3" borderId="2" applyAlignment="1" pivotButton="0" quotePrefix="0" xfId="0">
      <alignment horizontal="right" vertical="center" wrapText="1"/>
    </xf>
    <xf numFmtId="164" fontId="8" fillId="0" borderId="2" applyAlignment="1" pivotButton="0" quotePrefix="0" xfId="0">
      <alignment horizontal="right" vertical="center" wrapText="1"/>
    </xf>
    <xf numFmtId="0" fontId="9" fillId="0" borderId="3" applyAlignment="1" pivotButton="0" quotePrefix="0" xfId="0">
      <alignment horizontal="left" vertical="center" wrapText="1"/>
    </xf>
    <xf numFmtId="164" fontId="9" fillId="0" borderId="3" applyAlignment="1" pivotButton="0" quotePrefix="0" xfId="0">
      <alignment horizontal="right" vertical="center" wrapText="1"/>
    </xf>
    <xf numFmtId="0" fontId="9" fillId="0" borderId="2" pivotButton="0" quotePrefix="0" xfId="0"/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right" vertical="center" wrapText="1"/>
    </xf>
    <xf numFmtId="0" fontId="8" fillId="0" borderId="2" pivotButton="0" quotePrefix="0" xfId="0"/>
    <xf numFmtId="0" fontId="8" fillId="0" borderId="2" applyAlignment="1" pivotButton="0" quotePrefix="0" xfId="0">
      <alignment horizontal="left" vertical="center" wrapText="1"/>
    </xf>
    <xf numFmtId="165" fontId="8" fillId="0" borderId="2" applyAlignment="1" pivotButton="0" quotePrefix="0" xfId="0">
      <alignment horizontal="right" vertical="center" wrapText="1"/>
    </xf>
    <xf numFmtId="0" fontId="9" fillId="0" borderId="4" pivotButton="0" quotePrefix="0" xfId="0"/>
    <xf numFmtId="0" fontId="9" fillId="0" borderId="4" applyAlignment="1" pivotButton="0" quotePrefix="0" xfId="0">
      <alignment horizontal="left" vertical="center" wrapText="1"/>
    </xf>
    <xf numFmtId="164" fontId="9" fillId="0" borderId="4" applyAlignment="1" pivotButton="0" quotePrefix="0" xfId="0">
      <alignment horizontal="right" vertical="center" wrapText="1"/>
    </xf>
    <xf numFmtId="0" fontId="6" fillId="0" borderId="2" pivotButton="0" quotePrefix="0" xfId="0"/>
    <xf numFmtId="0" fontId="10" fillId="0" borderId="0" pivotButton="0" quotePrefix="0" xfId="0"/>
    <xf numFmtId="3" fontId="8" fillId="0" borderId="2" applyAlignment="1" pivotButton="0" quotePrefix="0" xfId="0">
      <alignment horizontal="right" vertical="center" wrapText="1"/>
    </xf>
    <xf numFmtId="0" fontId="1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6" fillId="3" borderId="0" pivotButton="0" quotePrefix="0" xfId="0"/>
    <xf numFmtId="0" fontId="4" fillId="2" borderId="1" pivotButton="0" quotePrefix="0" xfId="0"/>
    <xf numFmtId="0" fontId="7" fillId="0" borderId="2" pivotButton="0" quotePrefix="0" xfId="0"/>
  </cellXfs>
  <cellStyles count="1">
    <cellStyle name="Normal" xfId="0" builtinId="0" hidden="0"/>
  </cellStyles>
  <dxfs count="4">
    <dxf>
      <font>
        <b val="1"/>
        <color rgb="00721C24"/>
      </font>
      <fill>
        <patternFill patternType="solid">
          <fgColor rgb="00F8D7DA"/>
          <bgColor rgb="00F8D7DA"/>
        </patternFill>
      </fill>
    </dxf>
    <dxf>
      <font>
        <b val="1"/>
        <color rgb="00DC3545"/>
      </font>
    </dxf>
    <dxf>
      <font>
        <color rgb="00FD7E14"/>
      </font>
    </dxf>
    <dxf>
      <font>
        <color rgb="00DC354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P5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>
      <c r="A1" s="1" t="inlineStr">
        <is>
          <t>Heartland Building Supply</t>
        </is>
      </c>
    </row>
    <row r="2">
      <c r="A2" s="2" t="inlineStr">
        <is>
          <t>13-Week Rolling Cash Flow Forecast</t>
        </is>
      </c>
    </row>
    <row r="3">
      <c r="A3" s="3" t="inlineStr">
        <is>
          <t>Week of 03/30/2026 through 06/22/2026</t>
        </is>
      </c>
    </row>
    <row r="4">
      <c r="A4" s="3" t="inlineStr">
        <is>
          <t>Prepared March 31, 2026 | 1404 Labs</t>
        </is>
      </c>
    </row>
    <row r="5" ht="6" customHeight="1"/>
    <row r="6" ht="30" customHeight="1">
      <c r="A6" s="4" t="inlineStr">
        <is>
          <t>Section</t>
        </is>
      </c>
      <c r="B6" s="4" t="inlineStr">
        <is>
          <t>Line Item</t>
        </is>
      </c>
      <c r="C6" s="5" t="inlineStr">
        <is>
          <t>W1
03/30/2026</t>
        </is>
      </c>
      <c r="D6" s="5" t="inlineStr">
        <is>
          <t>W2
04/06/2026</t>
        </is>
      </c>
      <c r="E6" s="5" t="inlineStr">
        <is>
          <t>W3
04/13/2026</t>
        </is>
      </c>
      <c r="F6" s="5" t="inlineStr">
        <is>
          <t>W4
04/20/2026</t>
        </is>
      </c>
      <c r="G6" s="5" t="inlineStr">
        <is>
          <t>W5
04/27/2026</t>
        </is>
      </c>
      <c r="H6" s="5" t="inlineStr">
        <is>
          <t>W6
05/04/2026</t>
        </is>
      </c>
      <c r="I6" s="5" t="inlineStr">
        <is>
          <t>W7
05/11/2026</t>
        </is>
      </c>
      <c r="J6" s="5" t="inlineStr">
        <is>
          <t>W8
05/18/2026</t>
        </is>
      </c>
      <c r="K6" s="5" t="inlineStr">
        <is>
          <t>W9
05/25/2026</t>
        </is>
      </c>
      <c r="L6" s="5" t="inlineStr">
        <is>
          <t>W10
06/01/2026</t>
        </is>
      </c>
      <c r="M6" s="5" t="inlineStr">
        <is>
          <t>W11
06/08/2026</t>
        </is>
      </c>
      <c r="N6" s="5" t="inlineStr">
        <is>
          <t>W12
06/15/2026</t>
        </is>
      </c>
      <c r="O6" s="5" t="inlineStr">
        <is>
          <t>W13
06/22/2026</t>
        </is>
      </c>
      <c r="P6" s="5" t="inlineStr">
        <is>
          <t>13-Week
Total</t>
        </is>
      </c>
    </row>
    <row r="7">
      <c r="A7" s="6" t="inlineStr">
        <is>
          <t>CASH INFLOWS</t>
        </is>
      </c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9" t="n"/>
      <c r="B8" s="9" t="inlineStr">
        <is>
          <t>AR — Midwest Cabinet Works</t>
        </is>
      </c>
      <c r="C8" s="10" t="n">
        <v>0</v>
      </c>
      <c r="D8" s="10" t="n">
        <v>285000</v>
      </c>
      <c r="E8" s="10" t="n">
        <v>0</v>
      </c>
      <c r="F8" s="10" t="n">
        <v>0</v>
      </c>
      <c r="G8" s="11" t="n">
        <v>0</v>
      </c>
      <c r="H8" s="11" t="n">
        <v>290000</v>
      </c>
      <c r="I8" s="11" t="n">
        <v>0</v>
      </c>
      <c r="J8" s="11" t="n">
        <v>0</v>
      </c>
      <c r="K8" s="11" t="n">
        <v>0</v>
      </c>
      <c r="L8" s="11" t="n">
        <v>310000</v>
      </c>
      <c r="M8" s="11" t="n">
        <v>0</v>
      </c>
      <c r="N8" s="11" t="n">
        <v>0</v>
      </c>
      <c r="O8" s="11" t="n">
        <v>0</v>
      </c>
      <c r="P8" s="12">
        <f>SUM(C8:O8)</f>
        <v/>
      </c>
    </row>
    <row r="9">
      <c r="A9" s="9" t="n"/>
      <c r="B9" s="9" t="inlineStr">
        <is>
          <t>AR — Prairie State Millwork</t>
        </is>
      </c>
      <c r="C9" s="10" t="n">
        <v>0</v>
      </c>
      <c r="D9" s="10" t="n">
        <v>0</v>
      </c>
      <c r="E9" s="10" t="n">
        <v>195000</v>
      </c>
      <c r="F9" s="10" t="n">
        <v>0</v>
      </c>
      <c r="G9" s="11" t="n">
        <v>0</v>
      </c>
      <c r="H9" s="11" t="n">
        <v>0</v>
      </c>
      <c r="I9" s="11" t="n">
        <v>0</v>
      </c>
      <c r="J9" s="11" t="n">
        <v>210000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220000</v>
      </c>
      <c r="P9" s="12">
        <f>SUM(C9:O9)</f>
        <v/>
      </c>
    </row>
    <row r="10">
      <c r="A10" s="9" t="n"/>
      <c r="B10" s="9" t="inlineStr">
        <is>
          <t>AR — Heartland Builders Supply Co-op</t>
        </is>
      </c>
      <c r="C10" s="10" t="n">
        <v>0</v>
      </c>
      <c r="D10" s="10" t="n">
        <v>0</v>
      </c>
      <c r="E10" s="10" t="n">
        <v>0</v>
      </c>
      <c r="F10" s="11" t="n">
        <v>165000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175000</v>
      </c>
      <c r="L10" s="11" t="n">
        <v>0</v>
      </c>
      <c r="M10" s="11" t="n">
        <v>0</v>
      </c>
      <c r="N10" s="11" t="n">
        <v>0</v>
      </c>
      <c r="O10" s="11" t="n">
        <v>0</v>
      </c>
      <c r="P10" s="12">
        <f>SUM(C10:O10)</f>
        <v/>
      </c>
    </row>
    <row r="11">
      <c r="A11" s="9" t="n"/>
      <c r="B11" s="9" t="inlineStr">
        <is>
          <t>AR — Great Lakes Interiors</t>
        </is>
      </c>
      <c r="C11" s="10" t="n">
        <v>125000</v>
      </c>
      <c r="D11" s="10" t="n">
        <v>0</v>
      </c>
      <c r="E11" s="11" t="n">
        <v>0</v>
      </c>
      <c r="F11" s="11" t="n">
        <v>0</v>
      </c>
      <c r="G11" s="11" t="n">
        <v>135000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140000</v>
      </c>
      <c r="M11" s="11" t="n">
        <v>0</v>
      </c>
      <c r="N11" s="11" t="n">
        <v>0</v>
      </c>
      <c r="O11" s="11" t="n">
        <v>0</v>
      </c>
      <c r="P11" s="12">
        <f>SUM(C11:O11)</f>
        <v/>
      </c>
    </row>
    <row r="12">
      <c r="A12" s="9" t="n"/>
      <c r="B12" s="9" t="inlineStr">
        <is>
          <t>AR — Lakefront Development Corp</t>
        </is>
      </c>
      <c r="C12" s="10" t="n">
        <v>0</v>
      </c>
      <c r="D12" s="10" t="n">
        <v>0</v>
      </c>
      <c r="E12" s="10" t="n">
        <v>98000</v>
      </c>
      <c r="F12" s="11" t="n">
        <v>0</v>
      </c>
      <c r="G12" s="11" t="n">
        <v>0</v>
      </c>
      <c r="H12" s="11" t="n">
        <v>0</v>
      </c>
      <c r="I12" s="11" t="n">
        <v>105000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110000</v>
      </c>
      <c r="O12" s="11" t="n">
        <v>0</v>
      </c>
      <c r="P12" s="12">
        <f>SUM(C12:O12)</f>
        <v/>
      </c>
    </row>
    <row r="13">
      <c r="A13" s="9" t="n"/>
      <c r="B13" s="9" t="inlineStr">
        <is>
          <t>AR — Central States Fabrication</t>
        </is>
      </c>
      <c r="C13" s="10" t="n">
        <v>0</v>
      </c>
      <c r="D13" s="10" t="n">
        <v>72000</v>
      </c>
      <c r="E13" s="11" t="n">
        <v>0</v>
      </c>
      <c r="F13" s="11" t="n">
        <v>0</v>
      </c>
      <c r="G13" s="11" t="n">
        <v>0</v>
      </c>
      <c r="H13" s="11" t="n">
        <v>78000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82000</v>
      </c>
      <c r="N13" s="11" t="n">
        <v>0</v>
      </c>
      <c r="O13" s="11" t="n">
        <v>0</v>
      </c>
      <c r="P13" s="12">
        <f>SUM(C13:O13)</f>
        <v/>
      </c>
    </row>
    <row r="14">
      <c r="A14" s="9" t="n"/>
      <c r="B14" s="9" t="inlineStr">
        <is>
          <t>AR — All Other Customers</t>
        </is>
      </c>
      <c r="C14" s="10" t="n">
        <v>85000</v>
      </c>
      <c r="D14" s="10" t="n">
        <v>92000</v>
      </c>
      <c r="E14" s="11" t="n">
        <v>78000</v>
      </c>
      <c r="F14" s="11" t="n">
        <v>96000</v>
      </c>
      <c r="G14" s="11" t="n">
        <v>88000</v>
      </c>
      <c r="H14" s="11" t="n">
        <v>91000</v>
      </c>
      <c r="I14" s="11" t="n">
        <v>82000</v>
      </c>
      <c r="J14" s="11" t="n">
        <v>94000</v>
      </c>
      <c r="K14" s="11" t="n">
        <v>87000</v>
      </c>
      <c r="L14" s="11" t="n">
        <v>90000</v>
      </c>
      <c r="M14" s="11" t="n">
        <v>85000</v>
      </c>
      <c r="N14" s="11" t="n">
        <v>93000</v>
      </c>
      <c r="O14" s="11" t="n">
        <v>80000</v>
      </c>
      <c r="P14" s="12">
        <f>SUM(C14:O14)</f>
        <v/>
      </c>
    </row>
    <row r="15">
      <c r="A15" s="9" t="n"/>
      <c r="B15" s="9" t="inlineStr">
        <is>
          <t>Vendor Early-Pay Discounts (2/10 net 30)</t>
        </is>
      </c>
      <c r="C15" s="10" t="n">
        <v>8500</v>
      </c>
      <c r="D15" s="10" t="n">
        <v>7200</v>
      </c>
      <c r="E15" s="11" t="n">
        <v>9100</v>
      </c>
      <c r="F15" s="11" t="n">
        <v>8800</v>
      </c>
      <c r="G15" s="11" t="n">
        <v>7500</v>
      </c>
      <c r="H15" s="11" t="n">
        <v>8200</v>
      </c>
      <c r="I15" s="11" t="n">
        <v>9400</v>
      </c>
      <c r="J15" s="11" t="n">
        <v>7800</v>
      </c>
      <c r="K15" s="11" t="n">
        <v>8600</v>
      </c>
      <c r="L15" s="11" t="n">
        <v>9000</v>
      </c>
      <c r="M15" s="11" t="n">
        <v>7100</v>
      </c>
      <c r="N15" s="11" t="n">
        <v>8300</v>
      </c>
      <c r="O15" s="11" t="n">
        <v>8900</v>
      </c>
      <c r="P15" s="12">
        <f>SUM(C15:O15)</f>
        <v/>
      </c>
    </row>
    <row r="16">
      <c r="A16" s="9" t="n"/>
      <c r="B16" s="9" t="inlineStr">
        <is>
          <t>Other Income (equipment rental, scrap)</t>
        </is>
      </c>
      <c r="C16" s="10" t="n">
        <v>3200</v>
      </c>
      <c r="D16" s="10" t="n">
        <v>3200</v>
      </c>
      <c r="E16" s="11" t="n">
        <v>3200</v>
      </c>
      <c r="F16" s="11" t="n">
        <v>3200</v>
      </c>
      <c r="G16" s="11" t="n">
        <v>3200</v>
      </c>
      <c r="H16" s="11" t="n">
        <v>3200</v>
      </c>
      <c r="I16" s="11" t="n">
        <v>3200</v>
      </c>
      <c r="J16" s="11" t="n">
        <v>3200</v>
      </c>
      <c r="K16" s="11" t="n">
        <v>3200</v>
      </c>
      <c r="L16" s="11" t="n">
        <v>3200</v>
      </c>
      <c r="M16" s="11" t="n">
        <v>3200</v>
      </c>
      <c r="N16" s="11" t="n">
        <v>3200</v>
      </c>
      <c r="O16" s="11" t="n">
        <v>3200</v>
      </c>
      <c r="P16" s="12">
        <f>SUM(C16:O16)</f>
        <v/>
      </c>
    </row>
    <row r="17">
      <c r="A17" s="13" t="n"/>
      <c r="B17" s="13" t="inlineStr">
        <is>
          <t>Total Cash Inflows</t>
        </is>
      </c>
      <c r="C17" s="14">
        <f>SUM(C8:C16)</f>
        <v/>
      </c>
      <c r="D17" s="14">
        <f>SUM(D8:D16)</f>
        <v/>
      </c>
      <c r="E17" s="14">
        <f>SUM(E8:E16)</f>
        <v/>
      </c>
      <c r="F17" s="14">
        <f>SUM(F8:F16)</f>
        <v/>
      </c>
      <c r="G17" s="14">
        <f>SUM(G8:G16)</f>
        <v/>
      </c>
      <c r="H17" s="14">
        <f>SUM(H8:H16)</f>
        <v/>
      </c>
      <c r="I17" s="14">
        <f>SUM(I8:I16)</f>
        <v/>
      </c>
      <c r="J17" s="14">
        <f>SUM(J8:J16)</f>
        <v/>
      </c>
      <c r="K17" s="14">
        <f>SUM(K8:K16)</f>
        <v/>
      </c>
      <c r="L17" s="14">
        <f>SUM(L8:L16)</f>
        <v/>
      </c>
      <c r="M17" s="14">
        <f>SUM(M8:M16)</f>
        <v/>
      </c>
      <c r="N17" s="14">
        <f>SUM(N8:N16)</f>
        <v/>
      </c>
      <c r="O17" s="14">
        <f>SUM(O8:O16)</f>
        <v/>
      </c>
      <c r="P17" s="14">
        <f>SUM(P8:P16)</f>
        <v/>
      </c>
    </row>
    <row r="19">
      <c r="A19" s="6" t="inlineStr">
        <is>
          <t>CASH OUTFLOWS</t>
        </is>
      </c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9" t="n"/>
      <c r="B20" s="9" t="inlineStr">
        <is>
          <t>Vendor Payments — Lumber &amp; Panel Suppliers</t>
        </is>
      </c>
      <c r="C20" s="10" t="n">
        <v>420000</v>
      </c>
      <c r="D20" s="10" t="n">
        <v>385000</v>
      </c>
      <c r="E20" s="10" t="n">
        <v>395000</v>
      </c>
      <c r="F20" s="11" t="n">
        <v>410000</v>
      </c>
      <c r="G20" s="11" t="n">
        <v>405000</v>
      </c>
      <c r="H20" s="11" t="n">
        <v>415000</v>
      </c>
      <c r="I20" s="11" t="n">
        <v>390000</v>
      </c>
      <c r="J20" s="11" t="n">
        <v>425000</v>
      </c>
      <c r="K20" s="11" t="n">
        <v>400000</v>
      </c>
      <c r="L20" s="11" t="n">
        <v>410000</v>
      </c>
      <c r="M20" s="11" t="n">
        <v>395000</v>
      </c>
      <c r="N20" s="11" t="n">
        <v>420000</v>
      </c>
      <c r="O20" s="11" t="n">
        <v>385000</v>
      </c>
      <c r="P20" s="12">
        <f>SUM(C20:O20)</f>
        <v/>
      </c>
    </row>
    <row r="21">
      <c r="A21" s="9" t="n"/>
      <c r="B21" s="9" t="inlineStr">
        <is>
          <t>Vendor Payments — Fabrication Materials</t>
        </is>
      </c>
      <c r="C21" s="10" t="n">
        <v>165000</v>
      </c>
      <c r="D21" s="10" t="n">
        <v>155000</v>
      </c>
      <c r="E21" s="10" t="n">
        <v>170000</v>
      </c>
      <c r="F21" s="11" t="n">
        <v>160000</v>
      </c>
      <c r="G21" s="11" t="n">
        <v>168000</v>
      </c>
      <c r="H21" s="11" t="n">
        <v>162000</v>
      </c>
      <c r="I21" s="11" t="n">
        <v>158000</v>
      </c>
      <c r="J21" s="11" t="n">
        <v>172000</v>
      </c>
      <c r="K21" s="11" t="n">
        <v>163000</v>
      </c>
      <c r="L21" s="11" t="n">
        <v>167000</v>
      </c>
      <c r="M21" s="11" t="n">
        <v>155000</v>
      </c>
      <c r="N21" s="11" t="n">
        <v>170000</v>
      </c>
      <c r="O21" s="11" t="n">
        <v>160000</v>
      </c>
      <c r="P21" s="12">
        <f>SUM(C21:O21)</f>
        <v/>
      </c>
    </row>
    <row r="22">
      <c r="A22" s="9" t="n"/>
      <c r="B22" s="9" t="inlineStr">
        <is>
          <t>Vendor Payments — Freight-In &amp; Receiving</t>
        </is>
      </c>
      <c r="C22" s="10" t="n">
        <v>42000</v>
      </c>
      <c r="D22" s="10" t="n">
        <v>38000</v>
      </c>
      <c r="E22" s="11" t="n">
        <v>44000</v>
      </c>
      <c r="F22" s="11" t="n">
        <v>40000</v>
      </c>
      <c r="G22" s="11" t="n">
        <v>43000</v>
      </c>
      <c r="H22" s="11" t="n">
        <v>41000</v>
      </c>
      <c r="I22" s="11" t="n">
        <v>39000</v>
      </c>
      <c r="J22" s="11" t="n">
        <v>45000</v>
      </c>
      <c r="K22" s="11" t="n">
        <v>42000</v>
      </c>
      <c r="L22" s="11" t="n">
        <v>43000</v>
      </c>
      <c r="M22" s="11" t="n">
        <v>38000</v>
      </c>
      <c r="N22" s="11" t="n">
        <v>44000</v>
      </c>
      <c r="O22" s="11" t="n">
        <v>40000</v>
      </c>
      <c r="P22" s="12">
        <f>SUM(C22:O22)</f>
        <v/>
      </c>
    </row>
    <row r="23">
      <c r="A23" s="9" t="n"/>
      <c r="B23" s="9" t="inlineStr">
        <is>
          <t>Payroll — Warehouse &amp; Delivery (5 branches)</t>
        </is>
      </c>
      <c r="C23" s="10" t="n">
        <v>185000</v>
      </c>
      <c r="D23" s="10" t="n">
        <v>0</v>
      </c>
      <c r="E23" s="11" t="n">
        <v>188000</v>
      </c>
      <c r="F23" s="11" t="n">
        <v>0</v>
      </c>
      <c r="G23" s="11" t="n">
        <v>190000</v>
      </c>
      <c r="H23" s="11" t="n">
        <v>0</v>
      </c>
      <c r="I23" s="11" t="n">
        <v>185000</v>
      </c>
      <c r="J23" s="11" t="n">
        <v>0</v>
      </c>
      <c r="K23" s="11" t="n">
        <v>192000</v>
      </c>
      <c r="L23" s="11" t="n">
        <v>0</v>
      </c>
      <c r="M23" s="11" t="n">
        <v>188000</v>
      </c>
      <c r="N23" s="11" t="n">
        <v>0</v>
      </c>
      <c r="O23" s="11" t="n">
        <v>190000</v>
      </c>
      <c r="P23" s="12">
        <f>SUM(C23:O23)</f>
        <v/>
      </c>
    </row>
    <row r="24">
      <c r="A24" s="9" t="n"/>
      <c r="B24" s="9" t="inlineStr">
        <is>
          <t>Payroll — Sales &amp; Admin</t>
        </is>
      </c>
      <c r="C24" s="10" t="n">
        <v>0</v>
      </c>
      <c r="D24" s="10" t="n">
        <v>95000</v>
      </c>
      <c r="E24" s="11" t="n">
        <v>0</v>
      </c>
      <c r="F24" s="11" t="n">
        <v>98000</v>
      </c>
      <c r="G24" s="11" t="n">
        <v>0</v>
      </c>
      <c r="H24" s="11" t="n">
        <v>96000</v>
      </c>
      <c r="I24" s="11" t="n">
        <v>0</v>
      </c>
      <c r="J24" s="11" t="n">
        <v>97000</v>
      </c>
      <c r="K24" s="11" t="n">
        <v>0</v>
      </c>
      <c r="L24" s="11" t="n">
        <v>99000</v>
      </c>
      <c r="M24" s="11" t="n">
        <v>0</v>
      </c>
      <c r="N24" s="11" t="n">
        <v>96000</v>
      </c>
      <c r="O24" s="11" t="n">
        <v>0</v>
      </c>
      <c r="P24" s="12">
        <f>SUM(C24:O24)</f>
        <v/>
      </c>
    </row>
    <row r="25">
      <c r="A25" s="9" t="n"/>
      <c r="B25" s="9" t="inlineStr">
        <is>
          <t>Payroll Taxes &amp; Benefits</t>
        </is>
      </c>
      <c r="C25" s="10" t="n">
        <v>52000</v>
      </c>
      <c r="D25" s="10" t="n">
        <v>22000</v>
      </c>
      <c r="E25" s="11" t="n">
        <v>54000</v>
      </c>
      <c r="F25" s="11" t="n">
        <v>23000</v>
      </c>
      <c r="G25" s="11" t="n">
        <v>55000</v>
      </c>
      <c r="H25" s="11" t="n">
        <v>22000</v>
      </c>
      <c r="I25" s="11" t="n">
        <v>53000</v>
      </c>
      <c r="J25" s="11" t="n">
        <v>22000</v>
      </c>
      <c r="K25" s="11" t="n">
        <v>56000</v>
      </c>
      <c r="L25" s="11" t="n">
        <v>23000</v>
      </c>
      <c r="M25" s="11" t="n">
        <v>54000</v>
      </c>
      <c r="N25" s="11" t="n">
        <v>22000</v>
      </c>
      <c r="O25" s="11" t="n">
        <v>55000</v>
      </c>
      <c r="P25" s="12">
        <f>SUM(C25:O25)</f>
        <v/>
      </c>
    </row>
    <row r="26">
      <c r="A26" s="9" t="n"/>
      <c r="B26" s="9" t="inlineStr">
        <is>
          <t>Fleet — Fuel &amp; Maintenance</t>
        </is>
      </c>
      <c r="C26" s="10" t="n">
        <v>28000</v>
      </c>
      <c r="D26" s="10" t="n">
        <v>12000</v>
      </c>
      <c r="E26" s="11" t="n">
        <v>15000</v>
      </c>
      <c r="F26" s="11" t="n">
        <v>25000</v>
      </c>
      <c r="G26" s="11" t="n">
        <v>14000</v>
      </c>
      <c r="H26" s="11" t="n">
        <v>18000</v>
      </c>
      <c r="I26" s="11" t="n">
        <v>27000</v>
      </c>
      <c r="J26" s="11" t="n">
        <v>13000</v>
      </c>
      <c r="K26" s="11" t="n">
        <v>16000</v>
      </c>
      <c r="L26" s="11" t="n">
        <v>26000</v>
      </c>
      <c r="M26" s="11" t="n">
        <v>14000</v>
      </c>
      <c r="N26" s="11" t="n">
        <v>17000</v>
      </c>
      <c r="O26" s="11" t="n">
        <v>28000</v>
      </c>
      <c r="P26" s="12">
        <f>SUM(C26:O26)</f>
        <v/>
      </c>
    </row>
    <row r="27">
      <c r="A27" s="9" t="n"/>
      <c r="B27" s="9" t="inlineStr">
        <is>
          <t>Fleet — Truck Lease Payments</t>
        </is>
      </c>
      <c r="C27" s="10" t="n">
        <v>0</v>
      </c>
      <c r="D27" s="10" t="n">
        <v>0</v>
      </c>
      <c r="E27" s="10" t="n">
        <v>35000</v>
      </c>
      <c r="F27" s="10" t="n">
        <v>0</v>
      </c>
      <c r="G27" s="10" t="n">
        <v>0</v>
      </c>
      <c r="H27" s="10" t="n">
        <v>35000</v>
      </c>
      <c r="I27" s="10" t="n">
        <v>0</v>
      </c>
      <c r="J27" s="10" t="n">
        <v>0</v>
      </c>
      <c r="K27" s="10" t="n">
        <v>35000</v>
      </c>
      <c r="L27" s="10" t="n">
        <v>0</v>
      </c>
      <c r="M27" s="10" t="n">
        <v>0</v>
      </c>
      <c r="N27" s="10" t="n">
        <v>35000</v>
      </c>
      <c r="O27" s="10" t="n">
        <v>0</v>
      </c>
      <c r="P27" s="12">
        <f>SUM(C27:O27)</f>
        <v/>
      </c>
    </row>
    <row r="28">
      <c r="A28" s="9" t="n"/>
      <c r="B28" s="9" t="inlineStr">
        <is>
          <t>Warehouse Leases (5 locations)</t>
        </is>
      </c>
      <c r="C28" s="10" t="n">
        <v>78000</v>
      </c>
      <c r="D28" s="10" t="n">
        <v>0</v>
      </c>
      <c r="E28" s="10" t="n">
        <v>0</v>
      </c>
      <c r="F28" s="10" t="n">
        <v>0</v>
      </c>
      <c r="G28" s="11" t="n">
        <v>78000</v>
      </c>
      <c r="H28" s="11" t="n">
        <v>0</v>
      </c>
      <c r="I28" s="11" t="n">
        <v>0</v>
      </c>
      <c r="J28" s="11" t="n">
        <v>0</v>
      </c>
      <c r="K28" s="11" t="n">
        <v>78000</v>
      </c>
      <c r="L28" s="11" t="n">
        <v>0</v>
      </c>
      <c r="M28" s="11" t="n">
        <v>0</v>
      </c>
      <c r="N28" s="11" t="n">
        <v>0</v>
      </c>
      <c r="O28" s="11" t="n">
        <v>78000</v>
      </c>
      <c r="P28" s="12">
        <f>SUM(C28:O28)</f>
        <v/>
      </c>
    </row>
    <row r="29">
      <c r="A29" s="9" t="n"/>
      <c r="B29" s="9" t="inlineStr">
        <is>
          <t>Insurance — GL, WC, Auto, Property</t>
        </is>
      </c>
      <c r="C29" s="10" t="n">
        <v>0</v>
      </c>
      <c r="D29" s="10" t="n">
        <v>32000</v>
      </c>
      <c r="E29" s="10" t="n">
        <v>0</v>
      </c>
      <c r="F29" s="10" t="n">
        <v>0</v>
      </c>
      <c r="G29" s="11" t="n">
        <v>0</v>
      </c>
      <c r="H29" s="11" t="n">
        <v>32000</v>
      </c>
      <c r="I29" s="11" t="n">
        <v>0</v>
      </c>
      <c r="J29" s="11" t="n">
        <v>0</v>
      </c>
      <c r="K29" s="11" t="n">
        <v>0</v>
      </c>
      <c r="L29" s="11" t="n">
        <v>32000</v>
      </c>
      <c r="M29" s="11" t="n">
        <v>0</v>
      </c>
      <c r="N29" s="11" t="n">
        <v>0</v>
      </c>
      <c r="O29" s="11" t="n">
        <v>0</v>
      </c>
      <c r="P29" s="12">
        <f>SUM(C29:O29)</f>
        <v/>
      </c>
    </row>
    <row r="30">
      <c r="A30" s="9" t="n"/>
      <c r="B30" s="9" t="inlineStr">
        <is>
          <t>Utilities (5 warehouses + HQ)</t>
        </is>
      </c>
      <c r="C30" s="10" t="n">
        <v>14000</v>
      </c>
      <c r="D30" s="10" t="n">
        <v>0</v>
      </c>
      <c r="E30" s="10" t="n">
        <v>0</v>
      </c>
      <c r="F30" s="10" t="n">
        <v>0</v>
      </c>
      <c r="G30" s="11" t="n">
        <v>14000</v>
      </c>
      <c r="H30" s="11" t="n">
        <v>0</v>
      </c>
      <c r="I30" s="11" t="n">
        <v>0</v>
      </c>
      <c r="J30" s="11" t="n">
        <v>0</v>
      </c>
      <c r="K30" s="11" t="n">
        <v>14000</v>
      </c>
      <c r="L30" s="11" t="n">
        <v>0</v>
      </c>
      <c r="M30" s="11" t="n">
        <v>0</v>
      </c>
      <c r="N30" s="11" t="n">
        <v>0</v>
      </c>
      <c r="O30" s="11" t="n">
        <v>14000</v>
      </c>
      <c r="P30" s="12">
        <f>SUM(C30:O30)</f>
        <v/>
      </c>
    </row>
    <row r="31">
      <c r="A31" s="9" t="n"/>
      <c r="B31" s="9" t="inlineStr">
        <is>
          <t>Technology &amp; Software</t>
        </is>
      </c>
      <c r="C31" s="10" t="n">
        <v>0</v>
      </c>
      <c r="D31" s="10" t="n">
        <v>8500</v>
      </c>
      <c r="E31" s="10" t="n">
        <v>0</v>
      </c>
      <c r="F31" s="10" t="n">
        <v>0</v>
      </c>
      <c r="G31" s="11" t="n">
        <v>0</v>
      </c>
      <c r="H31" s="11" t="n">
        <v>8500</v>
      </c>
      <c r="I31" s="11" t="n">
        <v>0</v>
      </c>
      <c r="J31" s="11" t="n">
        <v>0</v>
      </c>
      <c r="K31" s="11" t="n">
        <v>0</v>
      </c>
      <c r="L31" s="11" t="n">
        <v>8500</v>
      </c>
      <c r="M31" s="11" t="n">
        <v>0</v>
      </c>
      <c r="N31" s="11" t="n">
        <v>0</v>
      </c>
      <c r="O31" s="11" t="n">
        <v>0</v>
      </c>
      <c r="P31" s="12">
        <f>SUM(C31:O31)</f>
        <v/>
      </c>
    </row>
    <row r="32">
      <c r="A32" s="9" t="n"/>
      <c r="B32" s="9" t="inlineStr">
        <is>
          <t>Debt Service — Equipment Loans</t>
        </is>
      </c>
      <c r="C32" s="10" t="n">
        <v>0</v>
      </c>
      <c r="D32" s="10" t="n">
        <v>0</v>
      </c>
      <c r="E32" s="10" t="n">
        <v>18000</v>
      </c>
      <c r="F32" s="10" t="n">
        <v>0</v>
      </c>
      <c r="G32" s="11" t="n">
        <v>0</v>
      </c>
      <c r="H32" s="11" t="n">
        <v>0</v>
      </c>
      <c r="I32" s="11" t="n">
        <v>18000</v>
      </c>
      <c r="J32" s="11" t="n">
        <v>0</v>
      </c>
      <c r="K32" s="11" t="n">
        <v>0</v>
      </c>
      <c r="L32" s="11" t="n">
        <v>0</v>
      </c>
      <c r="M32" s="11" t="n">
        <v>18000</v>
      </c>
      <c r="N32" s="11" t="n">
        <v>0</v>
      </c>
      <c r="O32" s="11" t="n">
        <v>0</v>
      </c>
      <c r="P32" s="12">
        <f>SUM(C32:O32)</f>
        <v/>
      </c>
    </row>
    <row r="33">
      <c r="A33" s="9" t="n"/>
      <c r="B33" s="9" t="inlineStr">
        <is>
          <t>Credit Card Payments</t>
        </is>
      </c>
      <c r="C33" s="10" t="n">
        <v>0</v>
      </c>
      <c r="D33" s="10" t="n">
        <v>0</v>
      </c>
      <c r="E33" s="10" t="n">
        <v>45000</v>
      </c>
      <c r="F33" s="10" t="n">
        <v>0</v>
      </c>
      <c r="G33" s="11" t="n">
        <v>0</v>
      </c>
      <c r="H33" s="11" t="n">
        <v>0</v>
      </c>
      <c r="I33" s="11" t="n">
        <v>0</v>
      </c>
      <c r="J33" s="11" t="n">
        <v>48000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46000</v>
      </c>
      <c r="P33" s="12">
        <f>SUM(C33:O33)</f>
        <v/>
      </c>
    </row>
    <row r="34">
      <c r="A34" s="9" t="n"/>
      <c r="B34" s="9" t="inlineStr">
        <is>
          <t>Owner Distributions</t>
        </is>
      </c>
      <c r="C34" s="10" t="n">
        <v>0</v>
      </c>
      <c r="D34" s="10" t="n">
        <v>0</v>
      </c>
      <c r="E34" s="10" t="n">
        <v>0</v>
      </c>
      <c r="F34" s="10" t="n">
        <v>50000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50000</v>
      </c>
      <c r="L34" s="11" t="n">
        <v>0</v>
      </c>
      <c r="M34" s="11" t="n">
        <v>0</v>
      </c>
      <c r="N34" s="11" t="n">
        <v>0</v>
      </c>
      <c r="O34" s="11" t="n">
        <v>0</v>
      </c>
      <c r="P34" s="12">
        <f>SUM(C34:O34)</f>
        <v/>
      </c>
    </row>
    <row r="35">
      <c r="A35" s="13" t="n"/>
      <c r="B35" s="13" t="inlineStr">
        <is>
          <t>Total Cash Outflows</t>
        </is>
      </c>
      <c r="C35" s="14">
        <f>SUM(C20:C34)</f>
        <v/>
      </c>
      <c r="D35" s="14">
        <f>SUM(D20:D34)</f>
        <v/>
      </c>
      <c r="E35" s="14">
        <f>SUM(E20:E34)</f>
        <v/>
      </c>
      <c r="F35" s="14">
        <f>SUM(F20:F34)</f>
        <v/>
      </c>
      <c r="G35" s="14">
        <f>SUM(G20:G34)</f>
        <v/>
      </c>
      <c r="H35" s="14">
        <f>SUM(H20:H34)</f>
        <v/>
      </c>
      <c r="I35" s="14">
        <f>SUM(I20:I34)</f>
        <v/>
      </c>
      <c r="J35" s="14">
        <f>SUM(J20:J34)</f>
        <v/>
      </c>
      <c r="K35" s="14">
        <f>SUM(K20:K34)</f>
        <v/>
      </c>
      <c r="L35" s="14">
        <f>SUM(L20:L34)</f>
        <v/>
      </c>
      <c r="M35" s="14">
        <f>SUM(M20:M34)</f>
        <v/>
      </c>
      <c r="N35" s="14">
        <f>SUM(N20:N34)</f>
        <v/>
      </c>
      <c r="O35" s="14">
        <f>SUM(O20:O34)</f>
        <v/>
      </c>
      <c r="P35" s="14">
        <f>SUM(P20:P34)</f>
        <v/>
      </c>
    </row>
    <row r="37">
      <c r="A37" s="15" t="n"/>
      <c r="B37" s="16" t="inlineStr">
        <is>
          <t>Opening Cash Balance</t>
        </is>
      </c>
      <c r="C37" s="10" t="n">
        <v>2650000</v>
      </c>
      <c r="D37" s="12">
        <f>C39</f>
        <v/>
      </c>
      <c r="E37" s="12">
        <f>D39</f>
        <v/>
      </c>
      <c r="F37" s="12">
        <f>E39</f>
        <v/>
      </c>
      <c r="G37" s="12">
        <f>F39</f>
        <v/>
      </c>
      <c r="H37" s="12">
        <f>G39</f>
        <v/>
      </c>
      <c r="I37" s="12">
        <f>H39</f>
        <v/>
      </c>
      <c r="J37" s="12">
        <f>I39</f>
        <v/>
      </c>
      <c r="K37" s="12">
        <f>J39</f>
        <v/>
      </c>
      <c r="L37" s="12">
        <f>K39</f>
        <v/>
      </c>
      <c r="M37" s="12">
        <f>L39</f>
        <v/>
      </c>
      <c r="N37" s="12">
        <f>M39</f>
        <v/>
      </c>
      <c r="O37" s="12">
        <f>N39</f>
        <v/>
      </c>
      <c r="P37" s="17" t="n"/>
    </row>
    <row r="38">
      <c r="A38" s="18" t="n"/>
      <c r="B38" s="19" t="inlineStr">
        <is>
          <t>Net Cash Flow</t>
        </is>
      </c>
      <c r="C38" s="20">
        <f>C17-C35</f>
        <v/>
      </c>
      <c r="D38" s="20">
        <f>D17-D35</f>
        <v/>
      </c>
      <c r="E38" s="20">
        <f>E17-E35</f>
        <v/>
      </c>
      <c r="F38" s="20">
        <f>F17-F35</f>
        <v/>
      </c>
      <c r="G38" s="20">
        <f>G17-G35</f>
        <v/>
      </c>
      <c r="H38" s="20">
        <f>H17-H35</f>
        <v/>
      </c>
      <c r="I38" s="20">
        <f>I17-I35</f>
        <v/>
      </c>
      <c r="J38" s="20">
        <f>J17-J35</f>
        <v/>
      </c>
      <c r="K38" s="20">
        <f>K17-K35</f>
        <v/>
      </c>
      <c r="L38" s="20">
        <f>L17-L35</f>
        <v/>
      </c>
      <c r="M38" s="20">
        <f>M17-M35</f>
        <v/>
      </c>
      <c r="N38" s="20">
        <f>N17-N35</f>
        <v/>
      </c>
      <c r="O38" s="20">
        <f>O17-O35</f>
        <v/>
      </c>
      <c r="P38" s="20">
        <f>P17-P35</f>
        <v/>
      </c>
    </row>
    <row r="39">
      <c r="A39" s="21" t="n"/>
      <c r="B39" s="22" t="inlineStr">
        <is>
          <t>Ending Cash Balance</t>
        </is>
      </c>
      <c r="C39" s="23">
        <f>C37+C38</f>
        <v/>
      </c>
      <c r="D39" s="23">
        <f>D37+D38</f>
        <v/>
      </c>
      <c r="E39" s="23">
        <f>E37+E38</f>
        <v/>
      </c>
      <c r="F39" s="23">
        <f>F37+F38</f>
        <v/>
      </c>
      <c r="G39" s="23">
        <f>G37+G38</f>
        <v/>
      </c>
      <c r="H39" s="23">
        <f>H37+H38</f>
        <v/>
      </c>
      <c r="I39" s="23">
        <f>I37+I38</f>
        <v/>
      </c>
      <c r="J39" s="23">
        <f>J37+J38</f>
        <v/>
      </c>
      <c r="K39" s="23">
        <f>K37+K38</f>
        <v/>
      </c>
      <c r="L39" s="23">
        <f>L37+L38</f>
        <v/>
      </c>
      <c r="M39" s="23">
        <f>M37+M38</f>
        <v/>
      </c>
      <c r="N39" s="23">
        <f>N37+N38</f>
        <v/>
      </c>
      <c r="O39" s="23">
        <f>O37+O38</f>
        <v/>
      </c>
      <c r="P39" s="23">
        <f>O39</f>
        <v/>
      </c>
    </row>
    <row r="41">
      <c r="A41" s="24" t="n"/>
      <c r="B41" s="9" t="inlineStr">
        <is>
          <t>LOC Limit</t>
        </is>
      </c>
      <c r="C41" s="11" t="n">
        <v>3000000</v>
      </c>
      <c r="D41" s="11" t="n">
        <v>3000000</v>
      </c>
      <c r="E41" s="11" t="n">
        <v>3000000</v>
      </c>
      <c r="F41" s="11" t="n">
        <v>3000000</v>
      </c>
      <c r="G41" s="11" t="n">
        <v>3000000</v>
      </c>
      <c r="H41" s="11" t="n">
        <v>3000000</v>
      </c>
      <c r="I41" s="11" t="n">
        <v>3000000</v>
      </c>
      <c r="J41" s="11" t="n">
        <v>3000000</v>
      </c>
      <c r="K41" s="11" t="n">
        <v>3000000</v>
      </c>
      <c r="L41" s="11" t="n">
        <v>3000000</v>
      </c>
      <c r="M41" s="11" t="n">
        <v>3000000</v>
      </c>
      <c r="N41" s="11" t="n">
        <v>3000000</v>
      </c>
      <c r="O41" s="11" t="n">
        <v>3000000</v>
      </c>
      <c r="P41" s="18" t="n"/>
    </row>
    <row r="42">
      <c r="A42" s="24" t="n"/>
      <c r="B42" s="9" t="inlineStr">
        <is>
          <t>LOC Drawn</t>
        </is>
      </c>
      <c r="C42" s="11" t="n">
        <v>500000</v>
      </c>
      <c r="D42" s="11" t="n">
        <v>500000</v>
      </c>
      <c r="E42" s="11" t="n">
        <v>500000</v>
      </c>
      <c r="F42" s="11" t="n">
        <v>500000</v>
      </c>
      <c r="G42" s="11" t="n">
        <v>500000</v>
      </c>
      <c r="H42" s="11" t="n">
        <v>500000</v>
      </c>
      <c r="I42" s="11" t="n">
        <v>500000</v>
      </c>
      <c r="J42" s="11" t="n">
        <v>500000</v>
      </c>
      <c r="K42" s="11" t="n">
        <v>500000</v>
      </c>
      <c r="L42" s="11" t="n">
        <v>500000</v>
      </c>
      <c r="M42" s="11" t="n">
        <v>500000</v>
      </c>
      <c r="N42" s="11" t="n">
        <v>500000</v>
      </c>
      <c r="O42" s="11" t="n">
        <v>500000</v>
      </c>
      <c r="P42" s="18" t="n"/>
    </row>
    <row r="43">
      <c r="A43" s="18" t="n"/>
      <c r="B43" s="19" t="inlineStr">
        <is>
          <t>LOC Available</t>
        </is>
      </c>
      <c r="C43" s="12">
        <f>C41-C42</f>
        <v/>
      </c>
      <c r="D43" s="12">
        <f>D41-D42</f>
        <v/>
      </c>
      <c r="E43" s="12">
        <f>E41-E42</f>
        <v/>
      </c>
      <c r="F43" s="12">
        <f>F41-F42</f>
        <v/>
      </c>
      <c r="G43" s="12">
        <f>G41-G42</f>
        <v/>
      </c>
      <c r="H43" s="12">
        <f>H41-H42</f>
        <v/>
      </c>
      <c r="I43" s="12">
        <f>I41-I42</f>
        <v/>
      </c>
      <c r="J43" s="12">
        <f>J41-J42</f>
        <v/>
      </c>
      <c r="K43" s="12">
        <f>K41-K42</f>
        <v/>
      </c>
      <c r="L43" s="12">
        <f>L41-L42</f>
        <v/>
      </c>
      <c r="M43" s="12">
        <f>M41-M42</f>
        <v/>
      </c>
      <c r="N43" s="12">
        <f>N41-N42</f>
        <v/>
      </c>
      <c r="O43" s="12">
        <f>O41-O42</f>
        <v/>
      </c>
      <c r="P43" s="18" t="n"/>
    </row>
    <row r="44">
      <c r="A44" s="21" t="n"/>
      <c r="B44" s="22" t="inlineStr">
        <is>
          <t>Effective Liquidity</t>
        </is>
      </c>
      <c r="C44" s="23">
        <f>C39+C43</f>
        <v/>
      </c>
      <c r="D44" s="23">
        <f>D39+D43</f>
        <v/>
      </c>
      <c r="E44" s="23">
        <f>E39+E43</f>
        <v/>
      </c>
      <c r="F44" s="23">
        <f>F39+F43</f>
        <v/>
      </c>
      <c r="G44" s="23">
        <f>G39+G43</f>
        <v/>
      </c>
      <c r="H44" s="23">
        <f>H39+H43</f>
        <v/>
      </c>
      <c r="I44" s="23">
        <f>I39+I43</f>
        <v/>
      </c>
      <c r="J44" s="23">
        <f>J39+J43</f>
        <v/>
      </c>
      <c r="K44" s="23">
        <f>K39+K43</f>
        <v/>
      </c>
      <c r="L44" s="23">
        <f>L39+L43</f>
        <v/>
      </c>
      <c r="M44" s="23">
        <f>M39+M43</f>
        <v/>
      </c>
      <c r="N44" s="23">
        <f>N39+N43</f>
        <v/>
      </c>
      <c r="O44" s="23">
        <f>O39+O43</f>
        <v/>
      </c>
      <c r="P44" s="23">
        <f>O44</f>
        <v/>
      </c>
    </row>
    <row r="46">
      <c r="A46" s="18" t="n"/>
      <c r="B46" s="19" t="inlineStr">
        <is>
          <t>Cumulative Net Cash Flow</t>
        </is>
      </c>
      <c r="C46" s="20">
        <f>SUM(C38:C38)</f>
        <v/>
      </c>
      <c r="D46" s="20">
        <f>SUM(C38:D38)</f>
        <v/>
      </c>
      <c r="E46" s="20">
        <f>SUM(C38:E38)</f>
        <v/>
      </c>
      <c r="F46" s="20">
        <f>SUM(C38:F38)</f>
        <v/>
      </c>
      <c r="G46" s="20">
        <f>SUM(C38:G38)</f>
        <v/>
      </c>
      <c r="H46" s="20">
        <f>SUM(C38:H38)</f>
        <v/>
      </c>
      <c r="I46" s="20">
        <f>SUM(C38:I38)</f>
        <v/>
      </c>
      <c r="J46" s="20">
        <f>SUM(C38:J38)</f>
        <v/>
      </c>
      <c r="K46" s="20">
        <f>SUM(C38:K38)</f>
        <v/>
      </c>
      <c r="L46" s="20">
        <f>SUM(C38:L38)</f>
        <v/>
      </c>
      <c r="M46" s="20">
        <f>SUM(C38:M38)</f>
        <v/>
      </c>
      <c r="N46" s="20">
        <f>SUM(C38:N38)</f>
        <v/>
      </c>
      <c r="O46" s="20">
        <f>SUM(C38:O38)</f>
        <v/>
      </c>
      <c r="P46" s="20">
        <f>O46</f>
        <v/>
      </c>
    </row>
    <row r="49">
      <c r="A49" s="25" t="inlineStr">
        <is>
          <t>KEY METRICS</t>
        </is>
      </c>
    </row>
    <row r="50">
      <c r="A50" s="9" t="inlineStr">
        <is>
          <t>Total 13-Week Cash Inflows</t>
        </is>
      </c>
      <c r="B50" s="12">
        <f>P17</f>
        <v/>
      </c>
    </row>
    <row r="51">
      <c r="A51" s="9" t="inlineStr">
        <is>
          <t>Total 13-Week Cash Outflows</t>
        </is>
      </c>
      <c r="B51" s="12">
        <f>P35</f>
        <v/>
      </c>
    </row>
    <row r="52">
      <c r="A52" s="9" t="inlineStr">
        <is>
          <t>13-Week Net Cash Flow</t>
        </is>
      </c>
      <c r="B52" s="20">
        <f>P38</f>
        <v/>
      </c>
    </row>
    <row r="53">
      <c r="A53" s="9" t="inlineStr">
        <is>
          <t>Ending Cash (Week 13)</t>
        </is>
      </c>
      <c r="B53" s="12">
        <f>O39</f>
        <v/>
      </c>
    </row>
    <row r="54">
      <c r="A54" s="9" t="inlineStr">
        <is>
          <t>Minimum Weekly Ending Cash</t>
        </is>
      </c>
      <c r="B54" s="12">
        <f>MIN(C39:O39)</f>
        <v/>
      </c>
    </row>
    <row r="55">
      <c r="A55" s="9" t="inlineStr">
        <is>
          <t>Maximum Weekly Ending Cash</t>
        </is>
      </c>
      <c r="B55" s="12">
        <f>MAX(C39:O39)</f>
        <v/>
      </c>
    </row>
    <row r="56">
      <c r="A56" s="9" t="inlineStr">
        <is>
          <t>Weeks Below Caution Threshold</t>
        </is>
      </c>
      <c r="B56" s="26">
        <f>COUNTIF(C39:O39,"&lt;500000")</f>
        <v/>
      </c>
    </row>
    <row r="57">
      <c r="A57" s="9" t="inlineStr">
        <is>
          <t>Effective Liquidity (Week 13)</t>
        </is>
      </c>
      <c r="B57" s="12">
        <f>O44</f>
        <v/>
      </c>
    </row>
  </sheetData>
  <mergeCells count="4">
    <mergeCell ref="A4:H4"/>
    <mergeCell ref="A3:H3"/>
    <mergeCell ref="A2:H2"/>
    <mergeCell ref="A1:H1"/>
  </mergeCells>
  <conditionalFormatting sqref="C39:O39">
    <cfRule type="cellIs" priority="1" operator="lessThan" dxfId="0">
      <formula>0</formula>
    </cfRule>
    <cfRule type="cellIs" priority="2" operator="lessThan" dxfId="1">
      <formula>200000</formula>
    </cfRule>
    <cfRule type="cellIs" priority="3" operator="lessThan" dxfId="2">
      <formula>500000</formula>
    </cfRule>
  </conditionalFormatting>
  <conditionalFormatting sqref="C38:O38">
    <cfRule type="cellIs" priority="4" operator="lessThan" dxfId="3">
      <formula>0</formula>
    </cfRule>
  </conditionalFormatting>
  <conditionalFormatting sqref="C44:O44">
    <cfRule type="cellIs" priority="5" operator="lessThan" dxfId="0">
      <formula>200000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5e7eb"/>
    <outlinePr summaryBelow="1" summaryRight="1"/>
    <pageSetUpPr/>
  </sheetPr>
  <dimension ref="A1:B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Cash Flow Forecast — Assumptions</t>
        </is>
      </c>
    </row>
    <row r="2">
      <c r="A2" s="27" t="inlineStr">
        <is>
          <t>All inputs and assumption bases documented here for audit trail.</t>
        </is>
      </c>
    </row>
    <row r="4">
      <c r="A4" s="28" t="inlineStr">
        <is>
          <t>GENERAL PARAMETERS</t>
        </is>
      </c>
    </row>
    <row r="5">
      <c r="A5" s="29" t="inlineStr">
        <is>
          <t>Report Date</t>
        </is>
      </c>
      <c r="B5" s="30" t="inlineStr">
        <is>
          <t>March 31, 2026</t>
        </is>
      </c>
    </row>
    <row r="6">
      <c r="A6" s="29" t="inlineStr">
        <is>
          <t>Forecast Start (W1)</t>
        </is>
      </c>
      <c r="B6" s="30" t="inlineStr">
        <is>
          <t>03/30/2026</t>
        </is>
      </c>
    </row>
    <row r="7">
      <c r="A7" s="29" t="inlineStr">
        <is>
          <t>Opening Cash Balance</t>
        </is>
      </c>
      <c r="B7" s="30" t="inlineStr">
        <is>
          <t>$2,650,000</t>
        </is>
      </c>
    </row>
    <row r="8">
      <c r="A8" s="29" t="inlineStr">
        <is>
          <t>Opening Cash Source</t>
        </is>
      </c>
      <c r="B8" s="30" t="inlineStr">
        <is>
          <t>Operating Account — First Midwest Bank (Maywood)</t>
        </is>
      </c>
    </row>
    <row r="9">
      <c r="A9" s="29" t="inlineStr">
        <is>
          <t>Danger Threshold (Red)</t>
        </is>
      </c>
      <c r="B9" s="30" t="inlineStr">
        <is>
          <t>$200,000</t>
        </is>
      </c>
    </row>
    <row r="10">
      <c r="A10" s="29" t="inlineStr">
        <is>
          <t>Caution Threshold (Orange)</t>
        </is>
      </c>
      <c r="B10" s="30" t="inlineStr">
        <is>
          <t>$500,000</t>
        </is>
      </c>
    </row>
    <row r="12">
      <c r="A12" s="28" t="inlineStr">
        <is>
          <t>LINE OF CREDIT TERMS</t>
        </is>
      </c>
    </row>
    <row r="13">
      <c r="A13" s="29" t="inlineStr">
        <is>
          <t>LOC Limit</t>
        </is>
      </c>
      <c r="B13" s="30" t="inlineStr">
        <is>
          <t>$3,000,000</t>
        </is>
      </c>
    </row>
    <row r="14">
      <c r="A14" s="29" t="inlineStr">
        <is>
          <t>LOC Drawn (Current)</t>
        </is>
      </c>
      <c r="B14" s="30" t="inlineStr">
        <is>
          <t>$500,000</t>
        </is>
      </c>
    </row>
    <row r="15">
      <c r="A15" s="29" t="inlineStr">
        <is>
          <t>Advance Rate</t>
        </is>
      </c>
      <c r="B15" s="30" t="inlineStr">
        <is>
          <t>85%</t>
        </is>
      </c>
    </row>
    <row r="16">
      <c r="A16" s="29" t="inlineStr">
        <is>
          <t>Eligible AR</t>
        </is>
      </c>
      <c r="B16" s="30" t="inlineStr">
        <is>
          <t>$5,200,000</t>
        </is>
      </c>
    </row>
    <row r="18">
      <c r="A18" s="28" t="inlineStr">
        <is>
          <t>AR COLLECTION SOURCES</t>
        </is>
      </c>
    </row>
    <row r="19">
      <c r="A19" s="29" t="inlineStr">
        <is>
          <t>AR — Midwest Cabinet Works</t>
        </is>
      </c>
      <c r="B19" s="29" t="inlineStr">
        <is>
          <t>13-week total: $885,000 (9 assumed weeks)</t>
        </is>
      </c>
    </row>
    <row r="20">
      <c r="A20" s="29" t="inlineStr">
        <is>
          <t>AR — Prairie State Millwork</t>
        </is>
      </c>
      <c r="B20" s="29" t="inlineStr">
        <is>
          <t>13-week total: $625,000 (9 assumed weeks)</t>
        </is>
      </c>
    </row>
    <row r="21">
      <c r="A21" s="29" t="inlineStr">
        <is>
          <t>AR — Heartland Builders Supply Co-op</t>
        </is>
      </c>
      <c r="B21" s="29" t="inlineStr">
        <is>
          <t>13-week total: $340,000 (10 assumed weeks)</t>
        </is>
      </c>
    </row>
    <row r="22">
      <c r="A22" s="29" t="inlineStr">
        <is>
          <t>AR — Great Lakes Interiors</t>
        </is>
      </c>
      <c r="B22" s="29" t="inlineStr">
        <is>
          <t>13-week total: $400,000 (11 assumed weeks)</t>
        </is>
      </c>
    </row>
    <row r="23">
      <c r="A23" s="29" t="inlineStr">
        <is>
          <t>AR — Lakefront Development Corp</t>
        </is>
      </c>
      <c r="B23" s="29" t="inlineStr">
        <is>
          <t>13-week total: $313,000 (10 assumed weeks)</t>
        </is>
      </c>
    </row>
    <row r="24">
      <c r="A24" s="29" t="inlineStr">
        <is>
          <t>AR — Central States Fabrication</t>
        </is>
      </c>
      <c r="B24" s="29" t="inlineStr">
        <is>
          <t>13-week total: $232,000 (11 assumed weeks)</t>
        </is>
      </c>
    </row>
    <row r="25">
      <c r="A25" s="29" t="inlineStr">
        <is>
          <t>AR — All Other Customers</t>
        </is>
      </c>
      <c r="B25" s="29" t="inlineStr">
        <is>
          <t>13-week total: $1,141,000 (11 assumed weeks)</t>
        </is>
      </c>
    </row>
    <row r="27">
      <c r="A27" s="28" t="inlineStr">
        <is>
          <t>OUTFLOW CATEGORIES</t>
        </is>
      </c>
    </row>
    <row r="28">
      <c r="A28" s="29" t="inlineStr">
        <is>
          <t>Vendor Payments — Lumber &amp; Panel Suppliers</t>
        </is>
      </c>
      <c r="B28" s="29" t="inlineStr">
        <is>
          <t>13-week total: $5,255,000 (10 assumed weeks)</t>
        </is>
      </c>
    </row>
    <row r="29">
      <c r="A29" s="29" t="inlineStr">
        <is>
          <t>Vendor Payments — Fabrication Materials</t>
        </is>
      </c>
      <c r="B29" s="29" t="inlineStr">
        <is>
          <t>13-week total: $2,125,000 (10 assumed weeks)</t>
        </is>
      </c>
    </row>
    <row r="30">
      <c r="A30" s="29" t="inlineStr">
        <is>
          <t>Vendor Payments — Freight-In &amp; Receiving</t>
        </is>
      </c>
      <c r="B30" s="29" t="inlineStr">
        <is>
          <t>13-week total: $539,000 (11 assumed weeks)</t>
        </is>
      </c>
    </row>
    <row r="31">
      <c r="A31" s="29" t="inlineStr">
        <is>
          <t>Payroll — Warehouse &amp; Delivery (5 branches)</t>
        </is>
      </c>
      <c r="B31" s="29" t="inlineStr">
        <is>
          <t>13-week total: $1,318,000 (11 assumed weeks)</t>
        </is>
      </c>
    </row>
    <row r="32">
      <c r="A32" s="29" t="inlineStr">
        <is>
          <t>Payroll — Sales &amp; Admin</t>
        </is>
      </c>
      <c r="B32" s="29" t="inlineStr">
        <is>
          <t>13-week total: $581,000 (11 assumed weeks)</t>
        </is>
      </c>
    </row>
    <row r="33">
      <c r="A33" s="29" t="inlineStr">
        <is>
          <t>Payroll Taxes &amp; Benefits</t>
        </is>
      </c>
      <c r="B33" s="29" t="inlineStr">
        <is>
          <t>13-week total: $513,000 (11 assumed weeks)</t>
        </is>
      </c>
    </row>
    <row r="34">
      <c r="A34" s="29" t="inlineStr">
        <is>
          <t>Fleet — Fuel &amp; Maintenance</t>
        </is>
      </c>
      <c r="B34" s="29" t="inlineStr">
        <is>
          <t>13-week total: $253,000 (11 assumed weeks)</t>
        </is>
      </c>
    </row>
    <row r="35">
      <c r="A35" s="29" t="inlineStr">
        <is>
          <t>Fleet — Truck Lease Payments</t>
        </is>
      </c>
      <c r="B35" s="29" t="inlineStr">
        <is>
          <t>13-week total: $140,000 (0 assumed weeks)</t>
        </is>
      </c>
    </row>
    <row r="36">
      <c r="A36" s="29" t="inlineStr">
        <is>
          <t>Warehouse Leases (5 locations)</t>
        </is>
      </c>
      <c r="B36" s="29" t="inlineStr">
        <is>
          <t>13-week total: $312,000 (9 assumed weeks)</t>
        </is>
      </c>
    </row>
    <row r="37">
      <c r="A37" s="29" t="inlineStr">
        <is>
          <t>Insurance — GL, WC, Auto, Property</t>
        </is>
      </c>
      <c r="B37" s="29" t="inlineStr">
        <is>
          <t>13-week total: $96,000 (9 assumed weeks)</t>
        </is>
      </c>
    </row>
    <row r="38">
      <c r="A38" s="29" t="inlineStr">
        <is>
          <t>Utilities (5 warehouses + HQ)</t>
        </is>
      </c>
      <c r="B38" s="29" t="inlineStr">
        <is>
          <t>13-week total: $56,000 (9 assumed weeks)</t>
        </is>
      </c>
    </row>
    <row r="39">
      <c r="A39" s="29" t="inlineStr">
        <is>
          <t>Technology &amp; Software</t>
        </is>
      </c>
      <c r="B39" s="29" t="inlineStr">
        <is>
          <t>13-week total: $25,500 (9 assumed weeks)</t>
        </is>
      </c>
    </row>
    <row r="40">
      <c r="A40" s="29" t="inlineStr">
        <is>
          <t>Debt Service — Equipment Loans</t>
        </is>
      </c>
      <c r="B40" s="29" t="inlineStr">
        <is>
          <t>13-week total: $54,000 (9 assumed weeks)</t>
        </is>
      </c>
    </row>
    <row r="41">
      <c r="A41" s="29" t="inlineStr">
        <is>
          <t>Credit Card Payments</t>
        </is>
      </c>
      <c r="B41" s="29" t="inlineStr">
        <is>
          <t>13-week total: $139,000 (9 assumed weeks)</t>
        </is>
      </c>
    </row>
    <row r="42">
      <c r="A42" s="29" t="inlineStr">
        <is>
          <t>Owner Distributions</t>
        </is>
      </c>
      <c r="B42" s="29" t="inlineStr">
        <is>
          <t>13-week total: $100,000 (9 assumed weeks)</t>
        </is>
      </c>
    </row>
    <row r="45">
      <c r="A45" s="28" t="inlineStr">
        <is>
          <t>VISUAL LEGEND</t>
        </is>
      </c>
    </row>
    <row r="46">
      <c r="A46" s="29" t="inlineStr">
        <is>
          <t>White background</t>
        </is>
      </c>
      <c r="B46" s="31" t="inlineStr">
        <is>
          <t>Actual QBO data — a real transaction exists</t>
        </is>
      </c>
    </row>
    <row r="47">
      <c r="A47" s="32" t="inlineStr">
        <is>
          <t>Light teal background</t>
        </is>
      </c>
      <c r="B47" s="31" t="inlineStr">
        <is>
          <t>Assumption/projected — no QBO transaction yet</t>
        </is>
      </c>
    </row>
    <row r="48">
      <c r="A48" s="29" t="inlineStr">
        <is>
          <t>Red text</t>
        </is>
      </c>
      <c r="B48" s="31" t="inlineStr">
        <is>
          <t>Ending cash below danger threshold</t>
        </is>
      </c>
    </row>
    <row r="49">
      <c r="A49" s="29" t="inlineStr">
        <is>
          <t>Orange text</t>
        </is>
      </c>
      <c r="B49" s="31" t="inlineStr">
        <is>
          <t>Ending cash below caution threshold</t>
        </is>
      </c>
    </row>
    <row r="50">
      <c r="A50" s="29" t="inlineStr">
        <is>
          <t>Red background</t>
        </is>
      </c>
      <c r="B50" s="31" t="inlineStr">
        <is>
          <t>Negative ending cash — crisis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5e7eb"/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22" customWidth="1" min="4" max="4"/>
  </cols>
  <sheetData>
    <row r="1">
      <c r="A1" s="1" t="inlineStr">
        <is>
          <t>Scenario Analysis</t>
        </is>
      </c>
    </row>
    <row r="2">
      <c r="A2" s="27" t="inlineStr">
        <is>
          <t>Compare ending cash under different collection and payment timing assumptions.</t>
        </is>
      </c>
    </row>
    <row r="4">
      <c r="A4" s="33" t="inlineStr">
        <is>
          <t>Scenario</t>
        </is>
      </c>
      <c r="B4" s="33" t="inlineStr">
        <is>
          <t>Description</t>
        </is>
      </c>
      <c r="C4" s="33" t="inlineStr">
        <is>
          <t>AR Shift (days)</t>
        </is>
      </c>
      <c r="D4" s="33" t="inlineStr">
        <is>
          <t>Outflow Shift (weeks)</t>
        </is>
      </c>
    </row>
    <row r="5">
      <c r="A5" s="24" t="inlineStr">
        <is>
          <t>Best Case</t>
        </is>
      </c>
      <c r="B5" s="24" t="inlineStr">
        <is>
          <t>Customers pay within terms, vendor payments shifted 1 week. Spring building season drives faster collections.</t>
        </is>
      </c>
      <c r="C5" s="34" t="n">
        <v>-7</v>
      </c>
      <c r="D5" s="34" t="n">
        <v>1</v>
      </c>
    </row>
    <row r="6">
      <c r="A6" s="24" t="inlineStr">
        <is>
          <t>Base Case</t>
        </is>
      </c>
      <c r="B6" s="24" t="inlineStr">
        <is>
          <t>Collections at actual DSO, all payments on schedule. Lumber pricing stable.</t>
        </is>
      </c>
      <c r="C6" s="34" t="n">
        <v>0</v>
      </c>
      <c r="D6" s="34" t="n">
        <v>0</v>
      </c>
    </row>
    <row r="7">
      <c r="A7" s="24" t="inlineStr">
        <is>
          <t>Worst Case</t>
        </is>
      </c>
      <c r="B7" s="24" t="inlineStr">
        <is>
          <t>Collections delayed 12 days (contractor slowdowns), vendor payments accelerated. Lumber price spike requires faster purchasing.</t>
        </is>
      </c>
      <c r="C7" s="34" t="n">
        <v>12</v>
      </c>
      <c r="D7" s="34" t="n">
        <v>-1</v>
      </c>
    </row>
    <row r="9">
      <c r="A9" s="3" t="inlineStr">
        <is>
          <t>Note: Scenarios are modeled by shifting AR collection dates and outflow timing.</t>
        </is>
      </c>
    </row>
    <row r="10">
      <c r="A10" s="3" t="inlineStr">
        <is>
          <t>Best Case = faster collections + delayed discretionary outflows.</t>
        </is>
      </c>
    </row>
    <row r="11">
      <c r="A11" s="3" t="inlineStr">
        <is>
          <t>Worst Case = slower collections + accelerated payables.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13-Week Cash Flow Forecast</dc:title>
  <dcterms:created xmlns:dcterms="http://purl.org/dc/terms/" xmlns:xsi="http://www.w3.org/2001/XMLSchema-instance" xsi:type="dcterms:W3CDTF">2026-04-12T21:32:08Z</dcterms:created>
  <dcterms:modified xmlns:dcterms="http://purl.org/dc/terms/" xmlns:xsi="http://www.w3.org/2001/XMLSchema-instance" xsi:type="dcterms:W3CDTF">2026-04-12T21:32:08Z</dcterms:modified>
</cp:coreProperties>
</file>