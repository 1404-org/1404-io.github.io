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Detai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Quarterly View" sheetId="3" state="visible" r:id="rId3"/>
    <sheet xmlns:r="http://schemas.openxmlformats.org/officeDocument/2006/relationships" name="Trend" sheetId="4" state="visible" r:id="rId4"/>
  </sheets>
  <definedNames>
    <definedName name="GrossProfit_YTD">'Monthly Detail'!$F$47</definedName>
    <definedName name="OperatingIncome_YTD">'Monthly Detail'!$F$49</definedName>
    <definedName name="NetIncome_YTD">'Monthly Detail'!$F$51</definedName>
    <definedName name="_xlnm.Print_Titles" localSheetId="0">'Monthly Detail'!$1:$6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;($#,##0);&quot;-&quot;"/>
    <numFmt numFmtId="166" formatCode="0.0%"/>
  </numFmts>
  <fonts count="10">
    <font>
      <name val="Calibri"/>
      <family val="2"/>
      <color theme="1"/>
      <sz val="11"/>
      <scheme val="minor"/>
    </font>
    <font>
      <name val="Inter"/>
      <b val="1"/>
      <color rgb="00111010"/>
      <sz val="14"/>
    </font>
    <font>
      <name val="Inter"/>
      <b val="1"/>
      <color rgb="00111010"/>
      <sz val="12"/>
    </font>
    <font>
      <name val="Inter"/>
      <color rgb="009a948c"/>
      <sz val="10"/>
    </font>
    <font>
      <name val="Inter"/>
      <b val="1"/>
      <color rgb="00FFFFFF"/>
      <sz val="9"/>
    </font>
    <font>
      <name val="Inter"/>
      <b val="1"/>
      <color rgb="00111010"/>
      <sz val="10"/>
    </font>
    <font>
      <name val="Inter"/>
      <color rgb="00111010"/>
      <sz val="10"/>
    </font>
    <font>
      <name val="Inter"/>
      <color rgb="000000FF"/>
      <sz val="10"/>
    </font>
    <font>
      <name val="Inter"/>
      <color rgb="00000000"/>
      <sz val="10"/>
    </font>
    <font>
      <name val="Inter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11010"/>
        <bgColor rgb="00111010"/>
      </patternFill>
    </fill>
    <fill>
      <patternFill patternType="solid">
        <fgColor rgb="00F9FAFB"/>
        <bgColor rgb="00F9FAFB"/>
      </patternFill>
    </fill>
  </fills>
  <borders count="5">
    <border>
      <left/>
      <right/>
      <top/>
      <bottom/>
      <diagonal/>
    </border>
    <border>
      <bottom style="medium">
        <color rgb="00111010"/>
      </bottom>
    </border>
    <border>
      <bottom style="hair">
        <color rgb="00D9D9D9"/>
      </bottom>
    </border>
    <border>
      <top style="thin">
        <color rgb="00000000"/>
      </top>
    </border>
    <border>
      <top style="double">
        <color rgb="00000000"/>
      </top>
      <bottom style="thin">
        <color rgb="00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 wrapText="1"/>
    </xf>
    <xf numFmtId="0" fontId="5" fillId="0" borderId="0" pivotButton="0" quotePrefix="0" xfId="0"/>
    <xf numFmtId="0" fontId="6" fillId="0" borderId="2" applyAlignment="1" pivotButton="0" quotePrefix="0" xfId="0">
      <alignment horizontal="left" vertical="center" wrapText="1"/>
    </xf>
    <xf numFmtId="164" fontId="7" fillId="0" borderId="2" applyAlignment="1" pivotButton="0" quotePrefix="0" xfId="0">
      <alignment horizontal="right" vertical="center"/>
    </xf>
    <xf numFmtId="165" fontId="8" fillId="0" borderId="2" applyAlignment="1" pivotButton="0" quotePrefix="0" xfId="0">
      <alignment horizontal="right" vertical="center"/>
    </xf>
    <xf numFmtId="166" fontId="8" fillId="0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left" vertical="center" wrapText="1"/>
    </xf>
    <xf numFmtId="164" fontId="7" fillId="3" borderId="2" applyAlignment="1" pivotButton="0" quotePrefix="0" xfId="0">
      <alignment horizontal="right" vertical="center"/>
    </xf>
    <xf numFmtId="165" fontId="8" fillId="3" borderId="2" applyAlignment="1" pivotButton="0" quotePrefix="0" xfId="0">
      <alignment horizontal="right" vertical="center"/>
    </xf>
    <xf numFmtId="166" fontId="8" fillId="3" borderId="2" applyAlignment="1" pivotButton="0" quotePrefix="0" xfId="0">
      <alignment horizontal="right" vertical="center"/>
    </xf>
    <xf numFmtId="0" fontId="9" fillId="0" borderId="3" pivotButton="0" quotePrefix="0" xfId="0"/>
    <xf numFmtId="164" fontId="9" fillId="0" borderId="3" applyAlignment="1" pivotButton="0" quotePrefix="0" xfId="0">
      <alignment horizontal="right" vertical="center"/>
    </xf>
    <xf numFmtId="165" fontId="9" fillId="0" borderId="3" applyAlignment="1" pivotButton="0" quotePrefix="0" xfId="0">
      <alignment horizontal="right" vertical="center"/>
    </xf>
    <xf numFmtId="166" fontId="9" fillId="0" borderId="3" applyAlignment="1" pivotButton="0" quotePrefix="0" xfId="0">
      <alignment horizontal="right" vertical="center"/>
    </xf>
    <xf numFmtId="0" fontId="9" fillId="0" borderId="4" pivotButton="0" quotePrefix="0" xfId="0"/>
    <xf numFmtId="164" fontId="9" fillId="0" borderId="4" applyAlignment="1" pivotButton="0" quotePrefix="0" xfId="0">
      <alignment horizontal="right" vertical="center"/>
    </xf>
    <xf numFmtId="165" fontId="9" fillId="0" borderId="4" applyAlignment="1" pivotButton="0" quotePrefix="0" xfId="0">
      <alignment horizontal="right" vertical="center"/>
    </xf>
    <xf numFmtId="166" fontId="9" fillId="0" borderId="4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0" fontId="9" fillId="0" borderId="4" applyAlignment="1" pivotButton="0" quotePrefix="0" xfId="0">
      <alignment horizontal="left" vertical="center"/>
    </xf>
    <xf numFmtId="0" fontId="6" fillId="3" borderId="2" applyAlignment="1" pivotButton="0" quotePrefix="0" xfId="0">
      <alignment horizontal="left" vertical="center"/>
    </xf>
    <xf numFmtId="0" fontId="4" fillId="2" borderId="1" applyAlignment="1" pivotButton="0" quotePrefix="0" xfId="0">
      <alignment horizontal="right" vertical="center"/>
    </xf>
    <xf numFmtId="0" fontId="9" fillId="0" borderId="3" applyAlignment="1" pivotButton="0" quotePrefix="0" xfId="0">
      <alignment horizontal="left" vertical="center"/>
    </xf>
    <xf numFmtId="165" fontId="8" fillId="0" borderId="3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font>
        <color rgb="00059669"/>
      </font>
      <fill>
        <patternFill patternType="solid">
          <fgColor rgb="00D1FAE5"/>
          <bgColor rgb="00D1FAE5"/>
        </patternFill>
      </fill>
    </dxf>
    <dxf>
      <font>
        <color rgb="00DC2626"/>
      </font>
      <fill>
        <patternFill patternType="solid">
          <fgColor rgb="00FEE2E2"/>
          <bgColor rgb="00FEE2E2"/>
        </patternFill>
      </fill>
    </dxf>
    <dxf>
      <font>
        <color rgb="00D97706"/>
      </font>
      <fill>
        <patternFill patternType="solid">
          <fgColor rgb="00FEF3C7"/>
          <b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Income — Actual vs Budget</a:t>
            </a:r>
          </a:p>
        </rich>
      </tx>
    </title>
    <plotArea>
      <barChart>
        <barDir val="col"/>
        <grouping val="clustered"/>
        <ser>
          <idx val="0"/>
          <order val="0"/>
          <tx>
            <v>Actual</v>
          </tx>
          <spPr>
            <a:solidFill xmlns:a="http://schemas.openxmlformats.org/drawingml/2006/main">
              <a:srgbClr val="111010"/>
            </a:solidFill>
            <a:ln xmlns:a="http://schemas.openxmlformats.org/drawingml/2006/main">
              <a:prstDash val="solid"/>
            </a:ln>
          </spPr>
          <cat>
            <numRef>
              <f>'Trend'!$B$5:$M$5</f>
            </numRef>
          </cat>
          <val>
            <numRef>
              <f>'Trend'!$B$15:$M$15</f>
            </numRef>
          </val>
        </ser>
        <ser>
          <idx val="1"/>
          <order val="1"/>
          <tx>
            <v>Budget</v>
          </tx>
          <spPr>
            <a:solidFill xmlns:a="http://schemas.openxmlformats.org/drawingml/2006/main">
              <a:srgbClr val="c9956b"/>
            </a:solidFill>
            <a:ln xmlns:a="http://schemas.openxmlformats.org/drawingml/2006/main">
              <a:prstDash val="solid"/>
            </a:ln>
          </spPr>
          <cat>
            <numRef>
              <f>'Trend'!$B$5:$M$5</f>
            </numRef>
          </cat>
          <val>
            <numRef>
              <f>'Trend'!$B$16:$M$16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11010"/>
    <outlinePr summaryBelow="1" summaryRight="1"/>
    <pageSetUpPr fitToPage="1"/>
  </sheetPr>
  <dimension ref="A1:I51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6" customWidth="1" min="7" max="7"/>
    <col width="16" customWidth="1" min="8" max="8"/>
    <col width="14" customWidth="1" min="9" max="9"/>
  </cols>
  <sheetData>
    <row r="1">
      <c r="A1" s="1" t="inlineStr">
        <is>
          <t>Heartland Building Supply</t>
        </is>
      </c>
    </row>
    <row r="2">
      <c r="A2" s="2" t="inlineStr">
        <is>
          <t>Budget vs Actual — Monthly Detail</t>
        </is>
      </c>
    </row>
    <row r="3">
      <c r="A3" s="3" t="inlineStr">
        <is>
          <t>As of March 31, 2026</t>
        </is>
      </c>
    </row>
    <row r="4">
      <c r="A4" s="3" t="inlineStr">
        <is>
          <t>Prepared by 1404 Labs</t>
        </is>
      </c>
    </row>
    <row r="5" ht="6" customHeight="1"/>
    <row r="6">
      <c r="A6" s="4" t="inlineStr">
        <is>
          <t>Line Item</t>
        </is>
      </c>
      <c r="B6" s="5" t="inlineStr">
        <is>
          <t>Mar Actual</t>
        </is>
      </c>
      <c r="C6" s="5" t="inlineStr">
        <is>
          <t>Mar Budget</t>
        </is>
      </c>
      <c r="D6" s="5" t="inlineStr">
        <is>
          <t>Mar Variance $</t>
        </is>
      </c>
      <c r="E6" s="5" t="inlineStr">
        <is>
          <t>Mar Variance %</t>
        </is>
      </c>
      <c r="F6" s="5" t="inlineStr">
        <is>
          <t>YTD Actual</t>
        </is>
      </c>
      <c r="G6" s="5" t="inlineStr">
        <is>
          <t>YTD Budget</t>
        </is>
      </c>
      <c r="H6" s="5" t="inlineStr">
        <is>
          <t>YTD Variance $</t>
        </is>
      </c>
      <c r="I6" s="5" t="inlineStr">
        <is>
          <t>YTD Variance %</t>
        </is>
      </c>
    </row>
    <row r="7">
      <c r="A7" s="6" t="inlineStr">
        <is>
          <t>Revenue</t>
        </is>
      </c>
    </row>
    <row r="8">
      <c r="A8" s="7" t="inlineStr">
        <is>
          <t>Wholesale Revenue — Lumber &amp; Panels</t>
        </is>
      </c>
      <c r="B8" s="8" t="n">
        <v>2280000</v>
      </c>
      <c r="C8" s="8" t="n">
        <v>2200000</v>
      </c>
      <c r="D8" s="9">
        <f>B8-C8</f>
        <v/>
      </c>
      <c r="E8" s="10">
        <f>IF(C8=0,0,D8/C8)</f>
        <v/>
      </c>
      <c r="F8" s="8" t="n">
        <v>6450000</v>
      </c>
      <c r="G8" s="8" t="n">
        <v>6200000</v>
      </c>
      <c r="H8" s="9">
        <f>F8-G8</f>
        <v/>
      </c>
      <c r="I8" s="10">
        <f>IF(G8=0,0,H8/G8)</f>
        <v/>
      </c>
    </row>
    <row r="9">
      <c r="A9" s="11" t="inlineStr">
        <is>
          <t>Wholesale Revenue — Fabrication Materials</t>
        </is>
      </c>
      <c r="B9" s="12" t="n">
        <v>910000</v>
      </c>
      <c r="C9" s="12" t="n">
        <v>880000</v>
      </c>
      <c r="D9" s="13">
        <f>B9-C9</f>
        <v/>
      </c>
      <c r="E9" s="14">
        <f>IF(C9=0,0,D9/C9)</f>
        <v/>
      </c>
      <c r="F9" s="12" t="n">
        <v>2580000</v>
      </c>
      <c r="G9" s="12" t="n">
        <v>2480000</v>
      </c>
      <c r="H9" s="13">
        <f>F9-G9</f>
        <v/>
      </c>
      <c r="I9" s="14">
        <f>IF(G9=0,0,H9/G9)</f>
        <v/>
      </c>
    </row>
    <row r="10">
      <c r="A10" s="7" t="inlineStr">
        <is>
          <t>Wholesale Revenue — Hardware &amp; Fasteners</t>
        </is>
      </c>
      <c r="B10" s="8" t="n">
        <v>450000</v>
      </c>
      <c r="C10" s="8" t="n">
        <v>440000</v>
      </c>
      <c r="D10" s="9">
        <f>B10-C10</f>
        <v/>
      </c>
      <c r="E10" s="10">
        <f>IF(C10=0,0,D10/C10)</f>
        <v/>
      </c>
      <c r="F10" s="8" t="n">
        <v>1265000</v>
      </c>
      <c r="G10" s="8" t="n">
        <v>1240000</v>
      </c>
      <c r="H10" s="9">
        <f>F10-G10</f>
        <v/>
      </c>
      <c r="I10" s="10">
        <f>IF(G10=0,0,H10/G10)</f>
        <v/>
      </c>
    </row>
    <row r="11">
      <c r="A11" s="11" t="inlineStr">
        <is>
          <t>Delivery Revenue</t>
        </is>
      </c>
      <c r="B11" s="12" t="n">
        <v>198000</v>
      </c>
      <c r="C11" s="12" t="n">
        <v>192500</v>
      </c>
      <c r="D11" s="13">
        <f>B11-C11</f>
        <v/>
      </c>
      <c r="E11" s="14">
        <f>IF(C11=0,0,D11/C11)</f>
        <v/>
      </c>
      <c r="F11" s="12" t="n">
        <v>561000</v>
      </c>
      <c r="G11" s="12" t="n">
        <v>542500</v>
      </c>
      <c r="H11" s="13">
        <f>F11-G11</f>
        <v/>
      </c>
      <c r="I11" s="14">
        <f>IF(G11=0,0,H11/G11)</f>
        <v/>
      </c>
    </row>
    <row r="12">
      <c r="A12" s="7" t="inlineStr">
        <is>
          <t>Value-Added Services (Cut-to-Size, Finishing)</t>
        </is>
      </c>
      <c r="B12" s="8" t="n">
        <v>192000</v>
      </c>
      <c r="C12" s="8" t="n">
        <v>181500</v>
      </c>
      <c r="D12" s="9">
        <f>B12-C12</f>
        <v/>
      </c>
      <c r="E12" s="10">
        <f>IF(C12=0,0,D12/C12)</f>
        <v/>
      </c>
      <c r="F12" s="8" t="n">
        <v>535000</v>
      </c>
      <c r="G12" s="8" t="n">
        <v>511500</v>
      </c>
      <c r="H12" s="9">
        <f>F12-G12</f>
        <v/>
      </c>
      <c r="I12" s="10">
        <f>IF(G12=0,0,H12/G12)</f>
        <v/>
      </c>
    </row>
    <row r="13">
      <c r="A13" s="15" t="inlineStr">
        <is>
          <t>Total Revenue</t>
        </is>
      </c>
      <c r="B13" s="16">
        <f>SUM(B8:B12)</f>
        <v/>
      </c>
      <c r="C13" s="16">
        <f>SUM(C8:C12)</f>
        <v/>
      </c>
      <c r="D13" s="17">
        <f>B13-C13</f>
        <v/>
      </c>
      <c r="E13" s="18">
        <f>IF(C13=0,0,D13/C13)</f>
        <v/>
      </c>
      <c r="F13" s="16">
        <f>SUM(F8:F12)</f>
        <v/>
      </c>
      <c r="G13" s="16">
        <f>SUM(G8:G12)</f>
        <v/>
      </c>
      <c r="H13" s="17">
        <f>F13-G13</f>
        <v/>
      </c>
      <c r="I13" s="18">
        <f>IF(G13=0,0,H13/G13)</f>
        <v/>
      </c>
    </row>
    <row r="15">
      <c r="A15" s="6" t="inlineStr">
        <is>
          <t>Cost of Goods Sold</t>
        </is>
      </c>
    </row>
    <row r="16">
      <c r="A16" s="7" t="inlineStr">
        <is>
          <t>Lumber &amp; Panel Purchases</t>
        </is>
      </c>
      <c r="B16" s="8" t="n">
        <v>1740000</v>
      </c>
      <c r="C16" s="8" t="n">
        <v>1672000</v>
      </c>
      <c r="D16" s="9">
        <f>B16-C16</f>
        <v/>
      </c>
      <c r="E16" s="10">
        <f>IF(C16=0,0,D16/C16)</f>
        <v/>
      </c>
      <c r="F16" s="8" t="n">
        <v>4935000</v>
      </c>
      <c r="G16" s="8" t="n">
        <v>4712000</v>
      </c>
      <c r="H16" s="9">
        <f>F16-G16</f>
        <v/>
      </c>
      <c r="I16" s="10">
        <f>IF(G16=0,0,H16/G16)</f>
        <v/>
      </c>
    </row>
    <row r="17">
      <c r="A17" s="11" t="inlineStr">
        <is>
          <t>Fabrication Material Purchases</t>
        </is>
      </c>
      <c r="B17" s="12" t="n">
        <v>685000</v>
      </c>
      <c r="C17" s="12" t="n">
        <v>660000</v>
      </c>
      <c r="D17" s="13">
        <f>B17-C17</f>
        <v/>
      </c>
      <c r="E17" s="14">
        <f>IF(C17=0,0,D17/C17)</f>
        <v/>
      </c>
      <c r="F17" s="12" t="n">
        <v>1940000</v>
      </c>
      <c r="G17" s="12" t="n">
        <v>1860000</v>
      </c>
      <c r="H17" s="13">
        <f>F17-G17</f>
        <v/>
      </c>
      <c r="I17" s="14">
        <f>IF(G17=0,0,H17/G17)</f>
        <v/>
      </c>
    </row>
    <row r="18">
      <c r="A18" s="7" t="inlineStr">
        <is>
          <t>Hardware &amp; Fasteners Purchases</t>
        </is>
      </c>
      <c r="B18" s="8" t="n">
        <v>318000</v>
      </c>
      <c r="C18" s="8" t="n">
        <v>308000</v>
      </c>
      <c r="D18" s="9">
        <f>B18-C18</f>
        <v/>
      </c>
      <c r="E18" s="10">
        <f>IF(C18=0,0,D18/C18)</f>
        <v/>
      </c>
      <c r="F18" s="8" t="n">
        <v>891000</v>
      </c>
      <c r="G18" s="8" t="n">
        <v>868000</v>
      </c>
      <c r="H18" s="9">
        <f>F18-G18</f>
        <v/>
      </c>
      <c r="I18" s="10">
        <f>IF(G18=0,0,H18/G18)</f>
        <v/>
      </c>
    </row>
    <row r="19">
      <c r="A19" s="11" t="inlineStr">
        <is>
          <t>Freight-In &amp; Receiving</t>
        </is>
      </c>
      <c r="B19" s="12" t="n">
        <v>178000</v>
      </c>
      <c r="C19" s="12" t="n">
        <v>176000</v>
      </c>
      <c r="D19" s="13">
        <f>B19-C19</f>
        <v/>
      </c>
      <c r="E19" s="14">
        <f>IF(C19=0,0,D19/C19)</f>
        <v/>
      </c>
      <c r="F19" s="12" t="n">
        <v>508000</v>
      </c>
      <c r="G19" s="12" t="n">
        <v>496000</v>
      </c>
      <c r="H19" s="13">
        <f>F19-G19</f>
        <v/>
      </c>
      <c r="I19" s="14">
        <f>IF(G19=0,0,H19/G19)</f>
        <v/>
      </c>
    </row>
    <row r="20">
      <c r="A20" s="7" t="inlineStr">
        <is>
          <t>Warehouse Labor (5 branches)</t>
        </is>
      </c>
      <c r="B20" s="8" t="n">
        <v>252000</v>
      </c>
      <c r="C20" s="8" t="n">
        <v>245000</v>
      </c>
      <c r="D20" s="9">
        <f>B20-C20</f>
        <v/>
      </c>
      <c r="E20" s="10">
        <f>IF(C20=0,0,D20/C20)</f>
        <v/>
      </c>
      <c r="F20" s="8" t="n">
        <v>745000</v>
      </c>
      <c r="G20" s="8" t="n">
        <v>725000</v>
      </c>
      <c r="H20" s="9">
        <f>F20-G20</f>
        <v/>
      </c>
      <c r="I20" s="10">
        <f>IF(G20=0,0,H20/G20)</f>
        <v/>
      </c>
    </row>
    <row r="21">
      <c r="A21" s="15" t="inlineStr">
        <is>
          <t>Total Cost of Goods Sold</t>
        </is>
      </c>
      <c r="B21" s="16">
        <f>SUM(B16:B20)</f>
        <v/>
      </c>
      <c r="C21" s="16">
        <f>SUM(C16:C20)</f>
        <v/>
      </c>
      <c r="D21" s="17">
        <f>B21-C21</f>
        <v/>
      </c>
      <c r="E21" s="18">
        <f>IF(C21=0,0,D21/C21)</f>
        <v/>
      </c>
      <c r="F21" s="16">
        <f>SUM(F16:F20)</f>
        <v/>
      </c>
      <c r="G21" s="16">
        <f>SUM(G16:G20)</f>
        <v/>
      </c>
      <c r="H21" s="17">
        <f>F21-G21</f>
        <v/>
      </c>
      <c r="I21" s="18">
        <f>IF(G21=0,0,H21/G21)</f>
        <v/>
      </c>
    </row>
    <row r="23">
      <c r="A23" s="6" t="inlineStr">
        <is>
          <t>Operating Expenses</t>
        </is>
      </c>
    </row>
    <row r="24">
      <c r="A24" s="7" t="inlineStr">
        <is>
          <t>Warehouse Occupancy (Lease + CAM + Utilities)</t>
        </is>
      </c>
      <c r="B24" s="8" t="n">
        <v>98000</v>
      </c>
      <c r="C24" s="8" t="n">
        <v>96000</v>
      </c>
      <c r="D24" s="9">
        <f>B24-C24</f>
        <v/>
      </c>
      <c r="E24" s="10">
        <f>IF(C24=0,0,D24/C24)</f>
        <v/>
      </c>
      <c r="F24" s="8" t="n">
        <v>294000</v>
      </c>
      <c r="G24" s="8" t="n">
        <v>288000</v>
      </c>
      <c r="H24" s="9">
        <f>F24-G24</f>
        <v/>
      </c>
      <c r="I24" s="10">
        <f>IF(G24=0,0,H24/G24)</f>
        <v/>
      </c>
    </row>
    <row r="25">
      <c r="A25" s="11" t="inlineStr">
        <is>
          <t>Delivery Fleet — Fuel</t>
        </is>
      </c>
      <c r="B25" s="12" t="n">
        <v>65000</v>
      </c>
      <c r="C25" s="12" t="n">
        <v>58000</v>
      </c>
      <c r="D25" s="13">
        <f>B25-C25</f>
        <v/>
      </c>
      <c r="E25" s="14">
        <f>IF(C25=0,0,D25/C25)</f>
        <v/>
      </c>
      <c r="F25" s="12" t="n">
        <v>185000</v>
      </c>
      <c r="G25" s="12" t="n">
        <v>168000</v>
      </c>
      <c r="H25" s="13">
        <f>F25-G25</f>
        <v/>
      </c>
      <c r="I25" s="14">
        <f>IF(G25=0,0,H25/G25)</f>
        <v/>
      </c>
    </row>
    <row r="26">
      <c r="A26" s="7" t="inlineStr">
        <is>
          <t>Delivery Fleet — Lease &amp; Maintenance</t>
        </is>
      </c>
      <c r="B26" s="8" t="n">
        <v>48000</v>
      </c>
      <c r="C26" s="8" t="n">
        <v>45000</v>
      </c>
      <c r="D26" s="9">
        <f>B26-C26</f>
        <v/>
      </c>
      <c r="E26" s="10">
        <f>IF(C26=0,0,D26/C26)</f>
        <v/>
      </c>
      <c r="F26" s="8" t="n">
        <v>144000</v>
      </c>
      <c r="G26" s="8" t="n">
        <v>135000</v>
      </c>
      <c r="H26" s="9">
        <f>F26-G26</f>
        <v/>
      </c>
      <c r="I26" s="10">
        <f>IF(G26=0,0,H26/G26)</f>
        <v/>
      </c>
    </row>
    <row r="27">
      <c r="A27" s="11" t="inlineStr">
        <is>
          <t>Sales Commissions</t>
        </is>
      </c>
      <c r="B27" s="12" t="n">
        <v>121000</v>
      </c>
      <c r="C27" s="12" t="n">
        <v>117000</v>
      </c>
      <c r="D27" s="13">
        <f>B27-C27</f>
        <v/>
      </c>
      <c r="E27" s="14">
        <f>IF(C27=0,0,D27/C27)</f>
        <v/>
      </c>
      <c r="F27" s="12" t="n">
        <v>341000</v>
      </c>
      <c r="G27" s="12" t="n">
        <v>329000</v>
      </c>
      <c r="H27" s="13">
        <f>F27-G27</f>
        <v/>
      </c>
      <c r="I27" s="14">
        <f>IF(G27=0,0,H27/G27)</f>
        <v/>
      </c>
    </row>
    <row r="28">
      <c r="A28" s="7" t="inlineStr">
        <is>
          <t>Sales &amp; Admin Salaries</t>
        </is>
      </c>
      <c r="B28" s="8" t="n">
        <v>145000</v>
      </c>
      <c r="C28" s="8" t="n">
        <v>140000</v>
      </c>
      <c r="D28" s="9">
        <f>B28-C28</f>
        <v/>
      </c>
      <c r="E28" s="10">
        <f>IF(C28=0,0,D28/C28)</f>
        <v/>
      </c>
      <c r="F28" s="8" t="n">
        <v>435000</v>
      </c>
      <c r="G28" s="8" t="n">
        <v>420000</v>
      </c>
      <c r="H28" s="9">
        <f>F28-G28</f>
        <v/>
      </c>
      <c r="I28" s="10">
        <f>IF(G28=0,0,H28/G28)</f>
        <v/>
      </c>
    </row>
    <row r="29">
      <c r="A29" s="11" t="inlineStr">
        <is>
          <t>Employee Benefits &amp; Payroll Taxes</t>
        </is>
      </c>
      <c r="B29" s="12" t="n">
        <v>97000</v>
      </c>
      <c r="C29" s="12" t="n">
        <v>92000</v>
      </c>
      <c r="D29" s="13">
        <f>B29-C29</f>
        <v/>
      </c>
      <c r="E29" s="14">
        <f>IF(C29=0,0,D29/C29)</f>
        <v/>
      </c>
      <c r="F29" s="12" t="n">
        <v>287000</v>
      </c>
      <c r="G29" s="12" t="n">
        <v>276000</v>
      </c>
      <c r="H29" s="13">
        <f>F29-G29</f>
        <v/>
      </c>
      <c r="I29" s="14">
        <f>IF(G29=0,0,H29/G29)</f>
        <v/>
      </c>
    </row>
    <row r="30">
      <c r="A30" s="7" t="inlineStr">
        <is>
          <t>Insurance (GL, WC, Auto, Property, Umbrella)</t>
        </is>
      </c>
      <c r="B30" s="8" t="n">
        <v>42000</v>
      </c>
      <c r="C30" s="8" t="n">
        <v>40000</v>
      </c>
      <c r="D30" s="9">
        <f>B30-C30</f>
        <v/>
      </c>
      <c r="E30" s="10">
        <f>IF(C30=0,0,D30/C30)</f>
        <v/>
      </c>
      <c r="F30" s="8" t="n">
        <v>126000</v>
      </c>
      <c r="G30" s="8" t="n">
        <v>120000</v>
      </c>
      <c r="H30" s="9">
        <f>F30-G30</f>
        <v/>
      </c>
      <c r="I30" s="10">
        <f>IF(G30=0,0,H30/G30)</f>
        <v/>
      </c>
    </row>
    <row r="31">
      <c r="A31" s="11" t="inlineStr">
        <is>
          <t>Technology &amp; Software</t>
        </is>
      </c>
      <c r="B31" s="12" t="n">
        <v>19000</v>
      </c>
      <c r="C31" s="12" t="n">
        <v>17000</v>
      </c>
      <c r="D31" s="13">
        <f>B31-C31</f>
        <v/>
      </c>
      <c r="E31" s="14">
        <f>IF(C31=0,0,D31/C31)</f>
        <v/>
      </c>
      <c r="F31" s="12" t="n">
        <v>55500</v>
      </c>
      <c r="G31" s="12" t="n">
        <v>51000</v>
      </c>
      <c r="H31" s="13">
        <f>F31-G31</f>
        <v/>
      </c>
      <c r="I31" s="14">
        <f>IF(G31=0,0,H31/G31)</f>
        <v/>
      </c>
    </row>
    <row r="32">
      <c r="A32" s="7" t="inlineStr">
        <is>
          <t>Professional Services (Legal, Accounting, Consulting)</t>
        </is>
      </c>
      <c r="B32" s="8" t="n">
        <v>15000</v>
      </c>
      <c r="C32" s="8" t="n">
        <v>10000</v>
      </c>
      <c r="D32" s="9">
        <f>B32-C32</f>
        <v/>
      </c>
      <c r="E32" s="10">
        <f>IF(C32=0,0,D32/C32)</f>
        <v/>
      </c>
      <c r="F32" s="8" t="n">
        <v>35500</v>
      </c>
      <c r="G32" s="8" t="n">
        <v>30000</v>
      </c>
      <c r="H32" s="9">
        <f>F32-G32</f>
        <v/>
      </c>
      <c r="I32" s="10">
        <f>IF(G32=0,0,H32/G32)</f>
        <v/>
      </c>
    </row>
    <row r="33">
      <c r="A33" s="11" t="inlineStr">
        <is>
          <t>Office &amp; Supplies</t>
        </is>
      </c>
      <c r="B33" s="12" t="n">
        <v>7200</v>
      </c>
      <c r="C33" s="12" t="n">
        <v>6000</v>
      </c>
      <c r="D33" s="13">
        <f>B33-C33</f>
        <v/>
      </c>
      <c r="E33" s="14">
        <f>IF(C33=0,0,D33/C33)</f>
        <v/>
      </c>
      <c r="F33" s="12" t="n">
        <v>19500</v>
      </c>
      <c r="G33" s="12" t="n">
        <v>18000</v>
      </c>
      <c r="H33" s="13">
        <f>F33-G33</f>
        <v/>
      </c>
      <c r="I33" s="14">
        <f>IF(G33=0,0,H33/G33)</f>
        <v/>
      </c>
    </row>
    <row r="34">
      <c r="A34" s="7" t="inlineStr">
        <is>
          <t>Marketing &amp; Trade Shows</t>
        </is>
      </c>
      <c r="B34" s="8" t="n">
        <v>22000</v>
      </c>
      <c r="C34" s="8" t="n">
        <v>15000</v>
      </c>
      <c r="D34" s="9">
        <f>B34-C34</f>
        <v/>
      </c>
      <c r="E34" s="10">
        <f>IF(C34=0,0,D34/C34)</f>
        <v/>
      </c>
      <c r="F34" s="8" t="n">
        <v>35500</v>
      </c>
      <c r="G34" s="8" t="n">
        <v>31000</v>
      </c>
      <c r="H34" s="9">
        <f>F34-G34</f>
        <v/>
      </c>
      <c r="I34" s="10">
        <f>IF(G34=0,0,H34/G34)</f>
        <v/>
      </c>
    </row>
    <row r="35">
      <c r="A35" s="11" t="inlineStr">
        <is>
          <t>Depreciation — Fleet &amp; Equipment</t>
        </is>
      </c>
      <c r="B35" s="12" t="n">
        <v>28000</v>
      </c>
      <c r="C35" s="12" t="n">
        <v>27000</v>
      </c>
      <c r="D35" s="13">
        <f>B35-C35</f>
        <v/>
      </c>
      <c r="E35" s="14">
        <f>IF(C35=0,0,D35/C35)</f>
        <v/>
      </c>
      <c r="F35" s="12" t="n">
        <v>84000</v>
      </c>
      <c r="G35" s="12" t="n">
        <v>81000</v>
      </c>
      <c r="H35" s="13">
        <f>F35-G35</f>
        <v/>
      </c>
      <c r="I35" s="14">
        <f>IF(G35=0,0,H35/G35)</f>
        <v/>
      </c>
    </row>
    <row r="36">
      <c r="A36" s="15" t="inlineStr">
        <is>
          <t>Total Operating Expenses</t>
        </is>
      </c>
      <c r="B36" s="16">
        <f>SUM(B24:B35)</f>
        <v/>
      </c>
      <c r="C36" s="16">
        <f>SUM(C24:C35)</f>
        <v/>
      </c>
      <c r="D36" s="17">
        <f>B36-C36</f>
        <v/>
      </c>
      <c r="E36" s="18">
        <f>IF(C36=0,0,D36/C36)</f>
        <v/>
      </c>
      <c r="F36" s="16">
        <f>SUM(F24:F35)</f>
        <v/>
      </c>
      <c r="G36" s="16">
        <f>SUM(G24:G35)</f>
        <v/>
      </c>
      <c r="H36" s="17">
        <f>F36-G36</f>
        <v/>
      </c>
      <c r="I36" s="18">
        <f>IF(G36=0,0,H36/G36)</f>
        <v/>
      </c>
    </row>
    <row r="38">
      <c r="A38" s="6" t="inlineStr">
        <is>
          <t>Other Income</t>
        </is>
      </c>
    </row>
    <row r="39">
      <c r="A39" s="7" t="inlineStr">
        <is>
          <t>Interest Income</t>
        </is>
      </c>
      <c r="B39" s="8" t="n">
        <v>3200</v>
      </c>
      <c r="C39" s="8" t="n">
        <v>3000</v>
      </c>
      <c r="D39" s="9">
        <f>B39-C39</f>
        <v/>
      </c>
      <c r="E39" s="10">
        <f>IF(C39=0,0,D39/C39)</f>
        <v/>
      </c>
      <c r="F39" s="8" t="n">
        <v>10500</v>
      </c>
      <c r="G39" s="8" t="n">
        <v>9000</v>
      </c>
      <c r="H39" s="9">
        <f>F39-G39</f>
        <v/>
      </c>
      <c r="I39" s="10">
        <f>IF(G39=0,0,H39/G39)</f>
        <v/>
      </c>
    </row>
    <row r="40">
      <c r="A40" s="11" t="inlineStr">
        <is>
          <t>Vendor Early-Pay Discounts Earned</t>
        </is>
      </c>
      <c r="B40" s="12" t="n">
        <v>31000</v>
      </c>
      <c r="C40" s="12" t="n">
        <v>27500</v>
      </c>
      <c r="D40" s="13">
        <f>B40-C40</f>
        <v/>
      </c>
      <c r="E40" s="14">
        <f>IF(C40=0,0,D40/C40)</f>
        <v/>
      </c>
      <c r="F40" s="12" t="n">
        <v>85500</v>
      </c>
      <c r="G40" s="12" t="n">
        <v>77500</v>
      </c>
      <c r="H40" s="13">
        <f>F40-G40</f>
        <v/>
      </c>
      <c r="I40" s="14">
        <f>IF(G40=0,0,H40/G40)</f>
        <v/>
      </c>
    </row>
    <row r="41">
      <c r="A41" s="15" t="inlineStr">
        <is>
          <t>Total Other Income</t>
        </is>
      </c>
      <c r="B41" s="16">
        <f>SUM(B39:B40)</f>
        <v/>
      </c>
      <c r="C41" s="16">
        <f>SUM(C39:C40)</f>
        <v/>
      </c>
      <c r="D41" s="17">
        <f>B41-C41</f>
        <v/>
      </c>
      <c r="E41" s="18">
        <f>IF(C41=0,0,D41/C41)</f>
        <v/>
      </c>
      <c r="F41" s="16">
        <f>SUM(F39:F40)</f>
        <v/>
      </c>
      <c r="G41" s="16">
        <f>SUM(G39:G40)</f>
        <v/>
      </c>
      <c r="H41" s="17">
        <f>F41-G41</f>
        <v/>
      </c>
      <c r="I41" s="18">
        <f>IF(G41=0,0,H41/G41)</f>
        <v/>
      </c>
    </row>
    <row r="43">
      <c r="A43" s="6" t="inlineStr">
        <is>
          <t>Other Expenses</t>
        </is>
      </c>
    </row>
    <row r="44">
      <c r="A44" s="7" t="inlineStr">
        <is>
          <t>Interest Expense — LOC &amp; Equipment Loans</t>
        </is>
      </c>
      <c r="B44" s="8" t="n">
        <v>18200</v>
      </c>
      <c r="C44" s="8" t="n">
        <v>18000</v>
      </c>
      <c r="D44" s="9">
        <f>B44-C44</f>
        <v/>
      </c>
      <c r="E44" s="10">
        <f>IF(C44=0,0,D44/C44)</f>
        <v/>
      </c>
      <c r="F44" s="8" t="n">
        <v>53700</v>
      </c>
      <c r="G44" s="8" t="n">
        <v>54000</v>
      </c>
      <c r="H44" s="9">
        <f>F44-G44</f>
        <v/>
      </c>
      <c r="I44" s="10">
        <f>IF(G44=0,0,H44/G44)</f>
        <v/>
      </c>
    </row>
    <row r="45">
      <c r="A45" s="15" t="inlineStr">
        <is>
          <t>Total Other Expenses</t>
        </is>
      </c>
      <c r="B45" s="16">
        <f>SUM(B44:B44)</f>
        <v/>
      </c>
      <c r="C45" s="16">
        <f>SUM(C44:C44)</f>
        <v/>
      </c>
      <c r="D45" s="17">
        <f>B45-C45</f>
        <v/>
      </c>
      <c r="E45" s="18">
        <f>IF(C45=0,0,D45/C45)</f>
        <v/>
      </c>
      <c r="F45" s="16">
        <f>SUM(F44:F44)</f>
        <v/>
      </c>
      <c r="G45" s="16">
        <f>SUM(G44:G44)</f>
        <v/>
      </c>
      <c r="H45" s="17">
        <f>F45-G45</f>
        <v/>
      </c>
      <c r="I45" s="18">
        <f>IF(G45=0,0,H45/G45)</f>
        <v/>
      </c>
    </row>
    <row r="47">
      <c r="A47" s="19" t="inlineStr">
        <is>
          <t>Gross Profit</t>
        </is>
      </c>
      <c r="B47" s="20">
        <f>B13-B21</f>
        <v/>
      </c>
      <c r="C47" s="20">
        <f>C13-C21</f>
        <v/>
      </c>
      <c r="D47" s="21">
        <f>B47-C47</f>
        <v/>
      </c>
      <c r="E47" s="22">
        <f>IF(C47=0,0,D47/C47)</f>
        <v/>
      </c>
      <c r="F47" s="20">
        <f>F13-F21</f>
        <v/>
      </c>
      <c r="G47" s="20">
        <f>G13-G21</f>
        <v/>
      </c>
      <c r="H47" s="21">
        <f>F47-G47</f>
        <v/>
      </c>
      <c r="I47" s="22">
        <f>IF(G47=0,0,H47/G47)</f>
        <v/>
      </c>
    </row>
    <row r="49">
      <c r="A49" s="19" t="inlineStr">
        <is>
          <t>Operating Income</t>
        </is>
      </c>
      <c r="B49" s="20">
        <f>B47-B36</f>
        <v/>
      </c>
      <c r="C49" s="20">
        <f>C47-C36</f>
        <v/>
      </c>
      <c r="D49" s="21">
        <f>B49-C49</f>
        <v/>
      </c>
      <c r="E49" s="22">
        <f>IF(C49=0,0,D49/C49)</f>
        <v/>
      </c>
      <c r="F49" s="20">
        <f>F47-F36</f>
        <v/>
      </c>
      <c r="G49" s="20">
        <f>G47-G36</f>
        <v/>
      </c>
      <c r="H49" s="21">
        <f>F49-G49</f>
        <v/>
      </c>
      <c r="I49" s="22">
        <f>IF(G49=0,0,H49/G49)</f>
        <v/>
      </c>
    </row>
    <row r="51">
      <c r="A51" s="19" t="inlineStr">
        <is>
          <t>Net Income</t>
        </is>
      </c>
      <c r="B51" s="20">
        <f>B49+B41-B45</f>
        <v/>
      </c>
      <c r="C51" s="20">
        <f>C49+C41-C45</f>
        <v/>
      </c>
      <c r="D51" s="21">
        <f>B51-C51</f>
        <v/>
      </c>
      <c r="E51" s="22">
        <f>IF(C51=0,0,D51/C51)</f>
        <v/>
      </c>
      <c r="F51" s="20">
        <f>F49+F41-F45</f>
        <v/>
      </c>
      <c r="G51" s="20">
        <f>G49+G41-G45</f>
        <v/>
      </c>
      <c r="H51" s="21">
        <f>F51-G51</f>
        <v/>
      </c>
      <c r="I51" s="22">
        <f>IF(G51=0,0,H51/G51)</f>
        <v/>
      </c>
    </row>
  </sheetData>
  <mergeCells count="4">
    <mergeCell ref="A1:I1"/>
    <mergeCell ref="A3:I3"/>
    <mergeCell ref="A4:I4"/>
    <mergeCell ref="A2:I2"/>
  </mergeCells>
  <conditionalFormatting sqref="E7:E51">
    <cfRule type="cellIs" priority="1" operator="greaterThan" dxfId="0">
      <formula>0.10</formula>
    </cfRule>
    <cfRule type="cellIs" priority="2" operator="lessThan" dxfId="1">
      <formula>-0.10</formula>
    </cfRule>
    <cfRule type="cellIs" priority="3" operator="between" dxfId="0">
      <formula>0.05</formula>
      <formula>0.10</formula>
    </cfRule>
    <cfRule type="cellIs" priority="4" operator="between" dxfId="2">
      <formula>-0.10</formula>
      <formula>-0.05</formula>
    </cfRule>
  </conditionalFormatting>
  <conditionalFormatting sqref="I7:I51">
    <cfRule type="cellIs" priority="5" operator="greaterThan" dxfId="0">
      <formula>0.10</formula>
    </cfRule>
    <cfRule type="cellIs" priority="6" operator="lessThan" dxfId="1">
      <formula>-0.10</formula>
    </cfRule>
    <cfRule type="cellIs" priority="7" operator="between" dxfId="0">
      <formula>0.05</formula>
      <formula>0.10</formula>
    </cfRule>
    <cfRule type="cellIs" priority="8" operator="between" dxfId="2">
      <formula>-0.10</formula>
      <formula>-0.05</formula>
    </cfRule>
  </conditionalFormatting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11010"/>
    <outlinePr summaryBelow="1" summaryRight="1"/>
    <pageSetUpPr fitToPage="1"/>
  </sheetPr>
  <dimension ref="A1:I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6" customWidth="1" min="7" max="7"/>
    <col width="16" customWidth="1" min="8" max="8"/>
    <col width="14" customWidth="1" min="9" max="9"/>
  </cols>
  <sheetData>
    <row r="1">
      <c r="A1" s="1" t="inlineStr">
        <is>
          <t>Heartland Building Supply</t>
        </is>
      </c>
    </row>
    <row r="2">
      <c r="A2" s="2" t="inlineStr">
        <is>
          <t>Budget vs Actual — Executive Summary</t>
        </is>
      </c>
    </row>
    <row r="3">
      <c r="A3" s="3" t="inlineStr">
        <is>
          <t>As of March 31, 2026</t>
        </is>
      </c>
    </row>
    <row r="4" ht="6" customHeight="1"/>
    <row r="5">
      <c r="A5" s="4" t="inlineStr">
        <is>
          <t>Metric</t>
        </is>
      </c>
      <c r="B5" s="5" t="inlineStr">
        <is>
          <t>Mar Actual</t>
        </is>
      </c>
      <c r="C5" s="5" t="inlineStr">
        <is>
          <t>Mar Budget</t>
        </is>
      </c>
      <c r="D5" s="5" t="inlineStr">
        <is>
          <t>Mar Var $</t>
        </is>
      </c>
      <c r="E5" s="5" t="inlineStr">
        <is>
          <t>Mar Var %</t>
        </is>
      </c>
      <c r="F5" s="5" t="inlineStr">
        <is>
          <t>YTD Actual</t>
        </is>
      </c>
      <c r="G5" s="5" t="inlineStr">
        <is>
          <t>YTD Budget</t>
        </is>
      </c>
      <c r="H5" s="5" t="inlineStr">
        <is>
          <t>YTD Var $</t>
        </is>
      </c>
      <c r="I5" s="5" t="inlineStr">
        <is>
          <t>YTD Var %</t>
        </is>
      </c>
    </row>
    <row r="6">
      <c r="A6" s="23" t="inlineStr">
        <is>
          <t>Total Revenue</t>
        </is>
      </c>
      <c r="B6" s="24" t="n">
        <v>4030000</v>
      </c>
      <c r="C6" s="24" t="n">
        <v>3894000</v>
      </c>
      <c r="D6" s="25">
        <f>B6-C6</f>
        <v/>
      </c>
      <c r="E6" s="26">
        <f>IF(C6=0,0,D6/C6)</f>
        <v/>
      </c>
      <c r="F6" s="24" t="n">
        <v>11391000</v>
      </c>
      <c r="G6" s="24" t="n">
        <v>10974000</v>
      </c>
      <c r="H6" s="25">
        <f>F6-G6</f>
        <v/>
      </c>
      <c r="I6" s="26">
        <f>IF(G6=0,0,H6/G6)</f>
        <v/>
      </c>
    </row>
    <row r="7">
      <c r="A7" s="23" t="inlineStr">
        <is>
          <t>Cost of Goods Sold</t>
        </is>
      </c>
      <c r="B7" s="24" t="n">
        <v>3173000</v>
      </c>
      <c r="C7" s="24" t="n">
        <v>3061000</v>
      </c>
      <c r="D7" s="25">
        <f>B7-C7</f>
        <v/>
      </c>
      <c r="E7" s="26">
        <f>IF(C7=0,0,D7/C7)</f>
        <v/>
      </c>
      <c r="F7" s="24" t="n">
        <v>9019000</v>
      </c>
      <c r="G7" s="24" t="n">
        <v>8661000</v>
      </c>
      <c r="H7" s="25">
        <f>F7-G7</f>
        <v/>
      </c>
      <c r="I7" s="26">
        <f>IF(G7=0,0,H7/G7)</f>
        <v/>
      </c>
    </row>
    <row r="8">
      <c r="A8" s="27" t="inlineStr">
        <is>
          <t>Gross Profit</t>
        </is>
      </c>
      <c r="B8" s="20" t="n">
        <v>857000</v>
      </c>
      <c r="C8" s="20" t="n">
        <v>833000</v>
      </c>
      <c r="D8" s="21">
        <f>B8-C8</f>
        <v/>
      </c>
      <c r="E8" s="22">
        <f>IF(C8=0,0,D8/C8)</f>
        <v/>
      </c>
      <c r="F8" s="20" t="n">
        <v>2372000</v>
      </c>
      <c r="G8" s="20" t="n">
        <v>2313000</v>
      </c>
      <c r="H8" s="21">
        <f>F8-G8</f>
        <v/>
      </c>
      <c r="I8" s="22">
        <f>IF(G8=0,0,H8/G8)</f>
        <v/>
      </c>
    </row>
    <row r="9">
      <c r="A9" s="23" t="inlineStr">
        <is>
          <t>Operating Expenses</t>
        </is>
      </c>
      <c r="B9" s="24" t="n">
        <v>707200</v>
      </c>
      <c r="C9" s="24" t="n">
        <v>663000</v>
      </c>
      <c r="D9" s="25">
        <f>B9-C9</f>
        <v/>
      </c>
      <c r="E9" s="26">
        <f>IF(C9=0,0,D9/C9)</f>
        <v/>
      </c>
      <c r="F9" s="24" t="n">
        <v>2042000</v>
      </c>
      <c r="G9" s="24" t="n">
        <v>1947000</v>
      </c>
      <c r="H9" s="25">
        <f>F9-G9</f>
        <v/>
      </c>
      <c r="I9" s="26">
        <f>IF(G9=0,0,H9/G9)</f>
        <v/>
      </c>
    </row>
    <row r="10">
      <c r="A10" s="27" t="inlineStr">
        <is>
          <t>Operating Income</t>
        </is>
      </c>
      <c r="B10" s="20" t="n">
        <v>149800</v>
      </c>
      <c r="C10" s="20" t="n">
        <v>170000</v>
      </c>
      <c r="D10" s="21">
        <f>B10-C10</f>
        <v/>
      </c>
      <c r="E10" s="22">
        <f>IF(C10=0,0,D10/C10)</f>
        <v/>
      </c>
      <c r="F10" s="20" t="n">
        <v>330000</v>
      </c>
      <c r="G10" s="20" t="n">
        <v>366000</v>
      </c>
      <c r="H10" s="21">
        <f>F10-G10</f>
        <v/>
      </c>
      <c r="I10" s="22">
        <f>IF(G10=0,0,H10/G10)</f>
        <v/>
      </c>
    </row>
    <row r="11">
      <c r="A11" s="27" t="inlineStr">
        <is>
          <t>Net Income</t>
        </is>
      </c>
      <c r="B11" s="20" t="n">
        <v>165800</v>
      </c>
      <c r="C11" s="20" t="n">
        <v>182500</v>
      </c>
      <c r="D11" s="21">
        <f>B11-C11</f>
        <v/>
      </c>
      <c r="E11" s="22">
        <f>IF(C11=0,0,D11/C11)</f>
        <v/>
      </c>
      <c r="F11" s="20" t="n">
        <v>372300</v>
      </c>
      <c r="G11" s="20" t="n">
        <v>398500</v>
      </c>
      <c r="H11" s="21">
        <f>F11-G11</f>
        <v/>
      </c>
      <c r="I11" s="22">
        <f>IF(G11=0,0,H11/G11)</f>
        <v/>
      </c>
    </row>
  </sheetData>
  <mergeCells count="3">
    <mergeCell ref="A1:I1"/>
    <mergeCell ref="A3:I3"/>
    <mergeCell ref="A2:I2"/>
  </mergeCells>
  <conditionalFormatting sqref="E6:E11">
    <cfRule type="cellIs" priority="1" operator="greaterThan" dxfId="0">
      <formula>0.05</formula>
    </cfRule>
    <cfRule type="cellIs" priority="2" operator="lessThan" dxfId="1">
      <formula>-0.05</formula>
    </cfRule>
    <cfRule type="cellIs" priority="3" operator="between" dxfId="2">
      <formula>-0.10</formula>
      <formula>-0.05</formula>
    </cfRule>
  </conditionalFormatting>
  <conditionalFormatting sqref="I6:I11">
    <cfRule type="cellIs" priority="4" operator="greaterThan" dxfId="0">
      <formula>0.05</formula>
    </cfRule>
    <cfRule type="cellIs" priority="5" operator="lessThan" dxfId="1">
      <formula>-0.05</formula>
    </cfRule>
    <cfRule type="cellIs" priority="6" operator="between" dxfId="2">
      <formula>-0.10</formula>
      <formula>-0.05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e5e7eb"/>
    <outlinePr summaryBelow="1" summaryRight="1"/>
    <pageSetUpPr fitToPage="1"/>
  </sheetPr>
  <dimension ref="A1:M4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</cols>
  <sheetData>
    <row r="1">
      <c r="A1" s="1" t="inlineStr">
        <is>
          <t>Heartland Building Supply</t>
        </is>
      </c>
    </row>
    <row r="2">
      <c r="A2" s="2" t="inlineStr">
        <is>
          <t>Budget vs Actual — Quarterly View</t>
        </is>
      </c>
    </row>
    <row r="3">
      <c r="A3" s="3" t="inlineStr">
        <is>
          <t>As of March 31, 2026</t>
        </is>
      </c>
    </row>
    <row r="4" ht="6" customHeight="1"/>
    <row r="5">
      <c r="A5" s="4" t="inlineStr">
        <is>
          <t>Line Item</t>
        </is>
      </c>
      <c r="B5" s="5" t="inlineStr">
        <is>
          <t>Q1 Actual</t>
        </is>
      </c>
      <c r="C5" s="5" t="inlineStr">
        <is>
          <t>Q1 Budget</t>
        </is>
      </c>
      <c r="D5" s="5" t="inlineStr">
        <is>
          <t>Q1 Var %</t>
        </is>
      </c>
      <c r="E5" s="5" t="inlineStr">
        <is>
          <t>Q2 Actual</t>
        </is>
      </c>
      <c r="F5" s="5" t="inlineStr">
        <is>
          <t>Q2 Budget</t>
        </is>
      </c>
      <c r="G5" s="5" t="inlineStr">
        <is>
          <t>Q2 Var %</t>
        </is>
      </c>
      <c r="H5" s="5" t="inlineStr">
        <is>
          <t>Q3 Actual</t>
        </is>
      </c>
      <c r="I5" s="5" t="inlineStr">
        <is>
          <t>Q3 Budget</t>
        </is>
      </c>
      <c r="J5" s="5" t="inlineStr">
        <is>
          <t>Q3 Var %</t>
        </is>
      </c>
      <c r="K5" s="5" t="inlineStr">
        <is>
          <t>Q4 Actual</t>
        </is>
      </c>
      <c r="L5" s="5" t="inlineStr">
        <is>
          <t>Q4 Budget</t>
        </is>
      </c>
      <c r="M5" s="5" t="inlineStr">
        <is>
          <t>Q4 Var %</t>
        </is>
      </c>
    </row>
    <row r="6">
      <c r="A6" s="6" t="inlineStr">
        <is>
          <t>Revenue</t>
        </is>
      </c>
    </row>
    <row r="7">
      <c r="A7" s="23" t="inlineStr">
        <is>
          <t>Wholesale Revenue — Lumber &amp; Panels</t>
        </is>
      </c>
      <c r="B7" s="8" t="n">
        <v>6450000</v>
      </c>
      <c r="C7" s="8" t="n">
        <v>6200000</v>
      </c>
      <c r="D7" s="10">
        <f>IF(C7=0,0,(B7-C7)/C7)</f>
        <v/>
      </c>
      <c r="E7" s="8" t="n">
        <v>0</v>
      </c>
      <c r="F7" s="8" t="n">
        <v>7700000</v>
      </c>
      <c r="G7" s="10">
        <f>IF(F7=0,0,(E7-F7)/F7)</f>
        <v/>
      </c>
      <c r="H7" s="8" t="n">
        <v>0</v>
      </c>
      <c r="I7" s="8" t="n">
        <v>7700000</v>
      </c>
      <c r="J7" s="10">
        <f>IF(I7=0,0,(H7-I7)/I7)</f>
        <v/>
      </c>
      <c r="K7" s="8" t="n">
        <v>0</v>
      </c>
      <c r="L7" s="8" t="n">
        <v>6000000</v>
      </c>
      <c r="M7" s="10">
        <f>IF(L7=0,0,(K7-L7)/L7)</f>
        <v/>
      </c>
    </row>
    <row r="8">
      <c r="A8" s="28" t="inlineStr">
        <is>
          <t>Wholesale Revenue — Fabrication Materials</t>
        </is>
      </c>
      <c r="B8" s="12" t="n">
        <v>2580000</v>
      </c>
      <c r="C8" s="12" t="n">
        <v>2480000</v>
      </c>
      <c r="D8" s="14">
        <f>IF(C8=0,0,(B8-C8)/C8)</f>
        <v/>
      </c>
      <c r="E8" s="12" t="n">
        <v>0</v>
      </c>
      <c r="F8" s="12" t="n">
        <v>3080000</v>
      </c>
      <c r="G8" s="14">
        <f>IF(F8=0,0,(E8-F8)/F8)</f>
        <v/>
      </c>
      <c r="H8" s="12" t="n">
        <v>0</v>
      </c>
      <c r="I8" s="12" t="n">
        <v>3080000</v>
      </c>
      <c r="J8" s="14">
        <f>IF(I8=0,0,(H8-I8)/I8)</f>
        <v/>
      </c>
      <c r="K8" s="12" t="n">
        <v>0</v>
      </c>
      <c r="L8" s="12" t="n">
        <v>2400000</v>
      </c>
      <c r="M8" s="14">
        <f>IF(L8=0,0,(K8-L8)/L8)</f>
        <v/>
      </c>
    </row>
    <row r="9">
      <c r="A9" s="23" t="inlineStr">
        <is>
          <t>Wholesale Revenue — Hardware &amp; Fasteners</t>
        </is>
      </c>
      <c r="B9" s="8" t="n">
        <v>1265000</v>
      </c>
      <c r="C9" s="8" t="n">
        <v>1240000</v>
      </c>
      <c r="D9" s="10">
        <f>IF(C9=0,0,(B9-C9)/C9)</f>
        <v/>
      </c>
      <c r="E9" s="8" t="n">
        <v>0</v>
      </c>
      <c r="F9" s="8" t="n">
        <v>1540000</v>
      </c>
      <c r="G9" s="10">
        <f>IF(F9=0,0,(E9-F9)/F9)</f>
        <v/>
      </c>
      <c r="H9" s="8" t="n">
        <v>0</v>
      </c>
      <c r="I9" s="8" t="n">
        <v>1540000</v>
      </c>
      <c r="J9" s="10">
        <f>IF(I9=0,0,(H9-I9)/I9)</f>
        <v/>
      </c>
      <c r="K9" s="8" t="n">
        <v>0</v>
      </c>
      <c r="L9" s="8" t="n">
        <v>1200000</v>
      </c>
      <c r="M9" s="10">
        <f>IF(L9=0,0,(K9-L9)/L9)</f>
        <v/>
      </c>
    </row>
    <row r="10">
      <c r="A10" s="28" t="inlineStr">
        <is>
          <t>Delivery Revenue</t>
        </is>
      </c>
      <c r="B10" s="12" t="n">
        <v>561000</v>
      </c>
      <c r="C10" s="12" t="n">
        <v>542500</v>
      </c>
      <c r="D10" s="14">
        <f>IF(C10=0,0,(B10-C10)/C10)</f>
        <v/>
      </c>
      <c r="E10" s="12" t="n">
        <v>0</v>
      </c>
      <c r="F10" s="12" t="n">
        <v>673750</v>
      </c>
      <c r="G10" s="14">
        <f>IF(F10=0,0,(E10-F10)/F10)</f>
        <v/>
      </c>
      <c r="H10" s="12" t="n">
        <v>0</v>
      </c>
      <c r="I10" s="12" t="n">
        <v>673750</v>
      </c>
      <c r="J10" s="14">
        <f>IF(I10=0,0,(H10-I10)/I10)</f>
        <v/>
      </c>
      <c r="K10" s="12" t="n">
        <v>0</v>
      </c>
      <c r="L10" s="12" t="n">
        <v>525000</v>
      </c>
      <c r="M10" s="14">
        <f>IF(L10=0,0,(K10-L10)/L10)</f>
        <v/>
      </c>
    </row>
    <row r="11">
      <c r="A11" s="23" t="inlineStr">
        <is>
          <t>Value-Added Services (Cut-to-Size, Finishing)</t>
        </is>
      </c>
      <c r="B11" s="8" t="n">
        <v>535000</v>
      </c>
      <c r="C11" s="8" t="n">
        <v>511500</v>
      </c>
      <c r="D11" s="10">
        <f>IF(C11=0,0,(B11-C11)/C11)</f>
        <v/>
      </c>
      <c r="E11" s="8" t="n">
        <v>0</v>
      </c>
      <c r="F11" s="8" t="n">
        <v>635250</v>
      </c>
      <c r="G11" s="10">
        <f>IF(F11=0,0,(E11-F11)/F11)</f>
        <v/>
      </c>
      <c r="H11" s="8" t="n">
        <v>0</v>
      </c>
      <c r="I11" s="8" t="n">
        <v>635250</v>
      </c>
      <c r="J11" s="10">
        <f>IF(I11=0,0,(H11-I11)/I11)</f>
        <v/>
      </c>
      <c r="K11" s="8" t="n">
        <v>0</v>
      </c>
      <c r="L11" s="8" t="n">
        <v>495000</v>
      </c>
      <c r="M11" s="10">
        <f>IF(L11=0,0,(K11-L11)/L11)</f>
        <v/>
      </c>
    </row>
    <row r="12">
      <c r="A12" s="15" t="inlineStr">
        <is>
          <t>Total Revenue</t>
        </is>
      </c>
      <c r="B12" s="16">
        <f>SUM(B7:B11)</f>
        <v/>
      </c>
      <c r="C12" s="16">
        <f>SUM(C7:C11)</f>
        <v/>
      </c>
      <c r="D12" s="18">
        <f>IF(C12=0,0,(B12-C12)/C12)</f>
        <v/>
      </c>
      <c r="E12" s="16">
        <f>SUM(E7:E11)</f>
        <v/>
      </c>
      <c r="F12" s="16">
        <f>SUM(F7:F11)</f>
        <v/>
      </c>
      <c r="G12" s="18">
        <f>IF(F12=0,0,(E12-F12)/F12)</f>
        <v/>
      </c>
      <c r="H12" s="16">
        <f>SUM(H7:H11)</f>
        <v/>
      </c>
      <c r="I12" s="16">
        <f>SUM(I7:I11)</f>
        <v/>
      </c>
      <c r="J12" s="18">
        <f>IF(I12=0,0,(H12-I12)/I12)</f>
        <v/>
      </c>
      <c r="K12" s="16">
        <f>SUM(K7:K11)</f>
        <v/>
      </c>
      <c r="L12" s="16">
        <f>SUM(L7:L11)</f>
        <v/>
      </c>
      <c r="M12" s="18">
        <f>IF(L12=0,0,(K12-L12)/L12)</f>
        <v/>
      </c>
    </row>
    <row r="14">
      <c r="A14" s="6" t="inlineStr">
        <is>
          <t>Cost of Goods Sold</t>
        </is>
      </c>
    </row>
    <row r="15">
      <c r="A15" s="23" t="inlineStr">
        <is>
          <t>Lumber &amp; Panel Purchases</t>
        </is>
      </c>
      <c r="B15" s="8" t="n">
        <v>4935000</v>
      </c>
      <c r="C15" s="8" t="n">
        <v>4712000</v>
      </c>
      <c r="D15" s="10">
        <f>IF(C15=0,0,(B15-C15)/C15)</f>
        <v/>
      </c>
      <c r="E15" s="8" t="n">
        <v>0</v>
      </c>
      <c r="F15" s="8" t="n">
        <v>5852000</v>
      </c>
      <c r="G15" s="10">
        <f>IF(F15=0,0,(E15-F15)/F15)</f>
        <v/>
      </c>
      <c r="H15" s="8" t="n">
        <v>0</v>
      </c>
      <c r="I15" s="8" t="n">
        <v>5852000</v>
      </c>
      <c r="J15" s="10">
        <f>IF(I15=0,0,(H15-I15)/I15)</f>
        <v/>
      </c>
      <c r="K15" s="8" t="n">
        <v>0</v>
      </c>
      <c r="L15" s="8" t="n">
        <v>4560000</v>
      </c>
      <c r="M15" s="10">
        <f>IF(L15=0,0,(K15-L15)/L15)</f>
        <v/>
      </c>
    </row>
    <row r="16">
      <c r="A16" s="28" t="inlineStr">
        <is>
          <t>Fabrication Material Purchases</t>
        </is>
      </c>
      <c r="B16" s="12" t="n">
        <v>1940000</v>
      </c>
      <c r="C16" s="12" t="n">
        <v>1860000</v>
      </c>
      <c r="D16" s="14">
        <f>IF(C16=0,0,(B16-C16)/C16)</f>
        <v/>
      </c>
      <c r="E16" s="12" t="n">
        <v>0</v>
      </c>
      <c r="F16" s="12" t="n">
        <v>2310000</v>
      </c>
      <c r="G16" s="14">
        <f>IF(F16=0,0,(E16-F16)/F16)</f>
        <v/>
      </c>
      <c r="H16" s="12" t="n">
        <v>0</v>
      </c>
      <c r="I16" s="12" t="n">
        <v>2310000</v>
      </c>
      <c r="J16" s="14">
        <f>IF(I16=0,0,(H16-I16)/I16)</f>
        <v/>
      </c>
      <c r="K16" s="12" t="n">
        <v>0</v>
      </c>
      <c r="L16" s="12" t="n">
        <v>1800000</v>
      </c>
      <c r="M16" s="14">
        <f>IF(L16=0,0,(K16-L16)/L16)</f>
        <v/>
      </c>
    </row>
    <row r="17">
      <c r="A17" s="23" t="inlineStr">
        <is>
          <t>Hardware &amp; Fasteners Purchases</t>
        </is>
      </c>
      <c r="B17" s="8" t="n">
        <v>891000</v>
      </c>
      <c r="C17" s="8" t="n">
        <v>868000</v>
      </c>
      <c r="D17" s="10">
        <f>IF(C17=0,0,(B17-C17)/C17)</f>
        <v/>
      </c>
      <c r="E17" s="8" t="n">
        <v>0</v>
      </c>
      <c r="F17" s="8" t="n">
        <v>1078000</v>
      </c>
      <c r="G17" s="10">
        <f>IF(F17=0,0,(E17-F17)/F17)</f>
        <v/>
      </c>
      <c r="H17" s="8" t="n">
        <v>0</v>
      </c>
      <c r="I17" s="8" t="n">
        <v>1078000</v>
      </c>
      <c r="J17" s="10">
        <f>IF(I17=0,0,(H17-I17)/I17)</f>
        <v/>
      </c>
      <c r="K17" s="8" t="n">
        <v>0</v>
      </c>
      <c r="L17" s="8" t="n">
        <v>840000</v>
      </c>
      <c r="M17" s="10">
        <f>IF(L17=0,0,(K17-L17)/L17)</f>
        <v/>
      </c>
    </row>
    <row r="18">
      <c r="A18" s="28" t="inlineStr">
        <is>
          <t>Freight-In &amp; Receiving</t>
        </is>
      </c>
      <c r="B18" s="12" t="n">
        <v>508000</v>
      </c>
      <c r="C18" s="12" t="n">
        <v>496000</v>
      </c>
      <c r="D18" s="14">
        <f>IF(C18=0,0,(B18-C18)/C18)</f>
        <v/>
      </c>
      <c r="E18" s="12" t="n">
        <v>0</v>
      </c>
      <c r="F18" s="12" t="n">
        <v>616000</v>
      </c>
      <c r="G18" s="14">
        <f>IF(F18=0,0,(E18-F18)/F18)</f>
        <v/>
      </c>
      <c r="H18" s="12" t="n">
        <v>0</v>
      </c>
      <c r="I18" s="12" t="n">
        <v>616000</v>
      </c>
      <c r="J18" s="14">
        <f>IF(I18=0,0,(H18-I18)/I18)</f>
        <v/>
      </c>
      <c r="K18" s="12" t="n">
        <v>0</v>
      </c>
      <c r="L18" s="12" t="n">
        <v>480000</v>
      </c>
      <c r="M18" s="14">
        <f>IF(L18=0,0,(K18-L18)/L18)</f>
        <v/>
      </c>
    </row>
    <row r="19">
      <c r="A19" s="23" t="inlineStr">
        <is>
          <t>Warehouse Labor (5 branches)</t>
        </is>
      </c>
      <c r="B19" s="8" t="n">
        <v>745000</v>
      </c>
      <c r="C19" s="8" t="n">
        <v>725000</v>
      </c>
      <c r="D19" s="10">
        <f>IF(C19=0,0,(B19-C19)/C19)</f>
        <v/>
      </c>
      <c r="E19" s="8" t="n">
        <v>0</v>
      </c>
      <c r="F19" s="8" t="n">
        <v>775000</v>
      </c>
      <c r="G19" s="10">
        <f>IF(F19=0,0,(E19-F19)/F19)</f>
        <v/>
      </c>
      <c r="H19" s="8" t="n">
        <v>0</v>
      </c>
      <c r="I19" s="8" t="n">
        <v>775000</v>
      </c>
      <c r="J19" s="10">
        <f>IF(I19=0,0,(H19-I19)/I19)</f>
        <v/>
      </c>
      <c r="K19" s="8" t="n">
        <v>0</v>
      </c>
      <c r="L19" s="8" t="n">
        <v>720000</v>
      </c>
      <c r="M19" s="10">
        <f>IF(L19=0,0,(K19-L19)/L19)</f>
        <v/>
      </c>
    </row>
    <row r="20">
      <c r="A20" s="15" t="inlineStr">
        <is>
          <t>Total Cost of Goods Sold</t>
        </is>
      </c>
      <c r="B20" s="16">
        <f>SUM(B15:B19)</f>
        <v/>
      </c>
      <c r="C20" s="16">
        <f>SUM(C15:C19)</f>
        <v/>
      </c>
      <c r="D20" s="18">
        <f>IF(C20=0,0,(B20-C20)/C20)</f>
        <v/>
      </c>
      <c r="E20" s="16">
        <f>SUM(E15:E19)</f>
        <v/>
      </c>
      <c r="F20" s="16">
        <f>SUM(F15:F19)</f>
        <v/>
      </c>
      <c r="G20" s="18">
        <f>IF(F20=0,0,(E20-F20)/F20)</f>
        <v/>
      </c>
      <c r="H20" s="16">
        <f>SUM(H15:H19)</f>
        <v/>
      </c>
      <c r="I20" s="16">
        <f>SUM(I15:I19)</f>
        <v/>
      </c>
      <c r="J20" s="18">
        <f>IF(I20=0,0,(H20-I20)/I20)</f>
        <v/>
      </c>
      <c r="K20" s="16">
        <f>SUM(K15:K19)</f>
        <v/>
      </c>
      <c r="L20" s="16">
        <f>SUM(L15:L19)</f>
        <v/>
      </c>
      <c r="M20" s="18">
        <f>IF(L20=0,0,(K20-L20)/L20)</f>
        <v/>
      </c>
    </row>
    <row r="22">
      <c r="A22" s="6" t="inlineStr">
        <is>
          <t>Operating Expenses</t>
        </is>
      </c>
    </row>
    <row r="23">
      <c r="A23" s="23" t="inlineStr">
        <is>
          <t>Warehouse Occupancy (Lease + CAM + Utilities)</t>
        </is>
      </c>
      <c r="B23" s="8" t="n">
        <v>294000</v>
      </c>
      <c r="C23" s="8" t="n">
        <v>288000</v>
      </c>
      <c r="D23" s="10">
        <f>IF(C23=0,0,(B23-C23)/C23)</f>
        <v/>
      </c>
      <c r="E23" s="8" t="n">
        <v>0</v>
      </c>
      <c r="F23" s="8" t="n">
        <v>288000</v>
      </c>
      <c r="G23" s="10">
        <f>IF(F23=0,0,(E23-F23)/F23)</f>
        <v/>
      </c>
      <c r="H23" s="8" t="n">
        <v>0</v>
      </c>
      <c r="I23" s="8" t="n">
        <v>288000</v>
      </c>
      <c r="J23" s="10">
        <f>IF(I23=0,0,(H23-I23)/I23)</f>
        <v/>
      </c>
      <c r="K23" s="8" t="n">
        <v>0</v>
      </c>
      <c r="L23" s="8" t="n">
        <v>288000</v>
      </c>
      <c r="M23" s="10">
        <f>IF(L23=0,0,(K23-L23)/L23)</f>
        <v/>
      </c>
    </row>
    <row r="24">
      <c r="A24" s="28" t="inlineStr">
        <is>
          <t>Delivery Fleet — Fuel</t>
        </is>
      </c>
      <c r="B24" s="12" t="n">
        <v>185000</v>
      </c>
      <c r="C24" s="12" t="n">
        <v>168000</v>
      </c>
      <c r="D24" s="14">
        <f>IF(C24=0,0,(B24-C24)/C24)</f>
        <v/>
      </c>
      <c r="E24" s="12" t="n">
        <v>0</v>
      </c>
      <c r="F24" s="12" t="n">
        <v>202000</v>
      </c>
      <c r="G24" s="14">
        <f>IF(F24=0,0,(E24-F24)/F24)</f>
        <v/>
      </c>
      <c r="H24" s="12" t="n">
        <v>0</v>
      </c>
      <c r="I24" s="12" t="n">
        <v>202000</v>
      </c>
      <c r="J24" s="14">
        <f>IF(I24=0,0,(H24-I24)/I24)</f>
        <v/>
      </c>
      <c r="K24" s="12" t="n">
        <v>0</v>
      </c>
      <c r="L24" s="12" t="n">
        <v>163000</v>
      </c>
      <c r="M24" s="14">
        <f>IF(L24=0,0,(K24-L24)/L24)</f>
        <v/>
      </c>
    </row>
    <row r="25">
      <c r="A25" s="23" t="inlineStr">
        <is>
          <t>Delivery Fleet — Lease &amp; Maintenance</t>
        </is>
      </c>
      <c r="B25" s="8" t="n">
        <v>144000</v>
      </c>
      <c r="C25" s="8" t="n">
        <v>135000</v>
      </c>
      <c r="D25" s="10">
        <f>IF(C25=0,0,(B25-C25)/C25)</f>
        <v/>
      </c>
      <c r="E25" s="8" t="n">
        <v>0</v>
      </c>
      <c r="F25" s="8" t="n">
        <v>135000</v>
      </c>
      <c r="G25" s="10">
        <f>IF(F25=0,0,(E25-F25)/F25)</f>
        <v/>
      </c>
      <c r="H25" s="8" t="n">
        <v>0</v>
      </c>
      <c r="I25" s="8" t="n">
        <v>135000</v>
      </c>
      <c r="J25" s="10">
        <f>IF(I25=0,0,(H25-I25)/I25)</f>
        <v/>
      </c>
      <c r="K25" s="8" t="n">
        <v>0</v>
      </c>
      <c r="L25" s="8" t="n">
        <v>135000</v>
      </c>
      <c r="M25" s="10">
        <f>IF(L25=0,0,(K25-L25)/L25)</f>
        <v/>
      </c>
    </row>
    <row r="26">
      <c r="A26" s="28" t="inlineStr">
        <is>
          <t>Sales Commissions</t>
        </is>
      </c>
      <c r="B26" s="12" t="n">
        <v>341000</v>
      </c>
      <c r="C26" s="12" t="n">
        <v>329000</v>
      </c>
      <c r="D26" s="14">
        <f>IF(C26=0,0,(B26-C26)/C26)</f>
        <v/>
      </c>
      <c r="E26" s="12" t="n">
        <v>0</v>
      </c>
      <c r="F26" s="12" t="n">
        <v>408000</v>
      </c>
      <c r="G26" s="14">
        <f>IF(F26=0,0,(E26-F26)/F26)</f>
        <v/>
      </c>
      <c r="H26" s="12" t="n">
        <v>0</v>
      </c>
      <c r="I26" s="12" t="n">
        <v>408000</v>
      </c>
      <c r="J26" s="14">
        <f>IF(I26=0,0,(H26-I26)/I26)</f>
        <v/>
      </c>
      <c r="K26" s="12" t="n">
        <v>0</v>
      </c>
      <c r="L26" s="12" t="n">
        <v>318000</v>
      </c>
      <c r="M26" s="14">
        <f>IF(L26=0,0,(K26-L26)/L26)</f>
        <v/>
      </c>
    </row>
    <row r="27">
      <c r="A27" s="23" t="inlineStr">
        <is>
          <t>Sales &amp; Admin Salaries</t>
        </is>
      </c>
      <c r="B27" s="8" t="n">
        <v>435000</v>
      </c>
      <c r="C27" s="8" t="n">
        <v>420000</v>
      </c>
      <c r="D27" s="10">
        <f>IF(C27=0,0,(B27-C27)/C27)</f>
        <v/>
      </c>
      <c r="E27" s="8" t="n">
        <v>0</v>
      </c>
      <c r="F27" s="8" t="n">
        <v>435000</v>
      </c>
      <c r="G27" s="10">
        <f>IF(F27=0,0,(E27-F27)/F27)</f>
        <v/>
      </c>
      <c r="H27" s="8" t="n">
        <v>0</v>
      </c>
      <c r="I27" s="8" t="n">
        <v>435000</v>
      </c>
      <c r="J27" s="10">
        <f>IF(I27=0,0,(H27-I27)/I27)</f>
        <v/>
      </c>
      <c r="K27" s="8" t="n">
        <v>0</v>
      </c>
      <c r="L27" s="8" t="n">
        <v>435000</v>
      </c>
      <c r="M27" s="10">
        <f>IF(L27=0,0,(K27-L27)/L27)</f>
        <v/>
      </c>
    </row>
    <row r="28">
      <c r="A28" s="28" t="inlineStr">
        <is>
          <t>Employee Benefits &amp; Payroll Taxes</t>
        </is>
      </c>
      <c r="B28" s="12" t="n">
        <v>287000</v>
      </c>
      <c r="C28" s="12" t="n">
        <v>276000</v>
      </c>
      <c r="D28" s="14">
        <f>IF(C28=0,0,(B28-C28)/C28)</f>
        <v/>
      </c>
      <c r="E28" s="12" t="n">
        <v>0</v>
      </c>
      <c r="F28" s="12" t="n">
        <v>285000</v>
      </c>
      <c r="G28" s="14">
        <f>IF(F28=0,0,(E28-F28)/F28)</f>
        <v/>
      </c>
      <c r="H28" s="12" t="n">
        <v>0</v>
      </c>
      <c r="I28" s="12" t="n">
        <v>285000</v>
      </c>
      <c r="J28" s="14">
        <f>IF(I28=0,0,(H28-I28)/I28)</f>
        <v/>
      </c>
      <c r="K28" s="12" t="n">
        <v>0</v>
      </c>
      <c r="L28" s="12" t="n">
        <v>285000</v>
      </c>
      <c r="M28" s="14">
        <f>IF(L28=0,0,(K28-L28)/L28)</f>
        <v/>
      </c>
    </row>
    <row r="29">
      <c r="A29" s="23" t="inlineStr">
        <is>
          <t>Insurance (GL, WC, Auto, Property, Umbrella)</t>
        </is>
      </c>
      <c r="B29" s="8" t="n">
        <v>126000</v>
      </c>
      <c r="C29" s="8" t="n">
        <v>120000</v>
      </c>
      <c r="D29" s="10">
        <f>IF(C29=0,0,(B29-C29)/C29)</f>
        <v/>
      </c>
      <c r="E29" s="8" t="n">
        <v>0</v>
      </c>
      <c r="F29" s="8" t="n">
        <v>120000</v>
      </c>
      <c r="G29" s="10">
        <f>IF(F29=0,0,(E29-F29)/F29)</f>
        <v/>
      </c>
      <c r="H29" s="8" t="n">
        <v>0</v>
      </c>
      <c r="I29" s="8" t="n">
        <v>120000</v>
      </c>
      <c r="J29" s="10">
        <f>IF(I29=0,0,(H29-I29)/I29)</f>
        <v/>
      </c>
      <c r="K29" s="8" t="n">
        <v>0</v>
      </c>
      <c r="L29" s="8" t="n">
        <v>120000</v>
      </c>
      <c r="M29" s="10">
        <f>IF(L29=0,0,(K29-L29)/L29)</f>
        <v/>
      </c>
    </row>
    <row r="30">
      <c r="A30" s="28" t="inlineStr">
        <is>
          <t>Technology &amp; Software</t>
        </is>
      </c>
      <c r="B30" s="12" t="n">
        <v>55500</v>
      </c>
      <c r="C30" s="12" t="n">
        <v>51000</v>
      </c>
      <c r="D30" s="14">
        <f>IF(C30=0,0,(B30-C30)/C30)</f>
        <v/>
      </c>
      <c r="E30" s="12" t="n">
        <v>0</v>
      </c>
      <c r="F30" s="12" t="n">
        <v>51000</v>
      </c>
      <c r="G30" s="14">
        <f>IF(F30=0,0,(E30-F30)/F30)</f>
        <v/>
      </c>
      <c r="H30" s="12" t="n">
        <v>0</v>
      </c>
      <c r="I30" s="12" t="n">
        <v>51000</v>
      </c>
      <c r="J30" s="14">
        <f>IF(I30=0,0,(H30-I30)/I30)</f>
        <v/>
      </c>
      <c r="K30" s="12" t="n">
        <v>0</v>
      </c>
      <c r="L30" s="12" t="n">
        <v>51000</v>
      </c>
      <c r="M30" s="14">
        <f>IF(L30=0,0,(K30-L30)/L30)</f>
        <v/>
      </c>
    </row>
    <row r="31">
      <c r="A31" s="23" t="inlineStr">
        <is>
          <t>Professional Services (Legal, Accounting, Consulting)</t>
        </is>
      </c>
      <c r="B31" s="8" t="n">
        <v>35500</v>
      </c>
      <c r="C31" s="8" t="n">
        <v>30000</v>
      </c>
      <c r="D31" s="10">
        <f>IF(C31=0,0,(B31-C31)/C31)</f>
        <v/>
      </c>
      <c r="E31" s="8" t="n">
        <v>0</v>
      </c>
      <c r="F31" s="8" t="n">
        <v>30000</v>
      </c>
      <c r="G31" s="10">
        <f>IF(F31=0,0,(E31-F31)/F31)</f>
        <v/>
      </c>
      <c r="H31" s="8" t="n">
        <v>0</v>
      </c>
      <c r="I31" s="8" t="n">
        <v>30000</v>
      </c>
      <c r="J31" s="10">
        <f>IF(I31=0,0,(H31-I31)/I31)</f>
        <v/>
      </c>
      <c r="K31" s="8" t="n">
        <v>0</v>
      </c>
      <c r="L31" s="8" t="n">
        <v>30000</v>
      </c>
      <c r="M31" s="10">
        <f>IF(L31=0,0,(K31-L31)/L31)</f>
        <v/>
      </c>
    </row>
    <row r="32">
      <c r="A32" s="28" t="inlineStr">
        <is>
          <t>Office &amp; Supplies</t>
        </is>
      </c>
      <c r="B32" s="12" t="n">
        <v>19500</v>
      </c>
      <c r="C32" s="12" t="n">
        <v>18000</v>
      </c>
      <c r="D32" s="14">
        <f>IF(C32=0,0,(B32-C32)/C32)</f>
        <v/>
      </c>
      <c r="E32" s="12" t="n">
        <v>0</v>
      </c>
      <c r="F32" s="12" t="n">
        <v>18000</v>
      </c>
      <c r="G32" s="14">
        <f>IF(F32=0,0,(E32-F32)/F32)</f>
        <v/>
      </c>
      <c r="H32" s="12" t="n">
        <v>0</v>
      </c>
      <c r="I32" s="12" t="n">
        <v>18000</v>
      </c>
      <c r="J32" s="14">
        <f>IF(I32=0,0,(H32-I32)/I32)</f>
        <v/>
      </c>
      <c r="K32" s="12" t="n">
        <v>0</v>
      </c>
      <c r="L32" s="12" t="n">
        <v>18000</v>
      </c>
      <c r="M32" s="14">
        <f>IF(L32=0,0,(K32-L32)/L32)</f>
        <v/>
      </c>
    </row>
    <row r="33">
      <c r="A33" s="23" t="inlineStr">
        <is>
          <t>Marketing &amp; Trade Shows</t>
        </is>
      </c>
      <c r="B33" s="8" t="n">
        <v>35500</v>
      </c>
      <c r="C33" s="8" t="n">
        <v>31000</v>
      </c>
      <c r="D33" s="10">
        <f>IF(C33=0,0,(B33-C33)/C33)</f>
        <v/>
      </c>
      <c r="E33" s="8" t="n">
        <v>0</v>
      </c>
      <c r="F33" s="8" t="n">
        <v>31000</v>
      </c>
      <c r="G33" s="10">
        <f>IF(F33=0,0,(E33-F33)/F33)</f>
        <v/>
      </c>
      <c r="H33" s="8" t="n">
        <v>0</v>
      </c>
      <c r="I33" s="8" t="n">
        <v>31000</v>
      </c>
      <c r="J33" s="10">
        <f>IF(I33=0,0,(H33-I33)/I33)</f>
        <v/>
      </c>
      <c r="K33" s="8" t="n">
        <v>0</v>
      </c>
      <c r="L33" s="8" t="n">
        <v>31000</v>
      </c>
      <c r="M33" s="10">
        <f>IF(L33=0,0,(K33-L33)/L33)</f>
        <v/>
      </c>
    </row>
    <row r="34">
      <c r="A34" s="28" t="inlineStr">
        <is>
          <t>Depreciation — Fleet &amp; Equipment</t>
        </is>
      </c>
      <c r="B34" s="12" t="n">
        <v>84000</v>
      </c>
      <c r="C34" s="12" t="n">
        <v>81000</v>
      </c>
      <c r="D34" s="14">
        <f>IF(C34=0,0,(B34-C34)/C34)</f>
        <v/>
      </c>
      <c r="E34" s="12" t="n">
        <v>0</v>
      </c>
      <c r="F34" s="12" t="n">
        <v>81000</v>
      </c>
      <c r="G34" s="14">
        <f>IF(F34=0,0,(E34-F34)/F34)</f>
        <v/>
      </c>
      <c r="H34" s="12" t="n">
        <v>0</v>
      </c>
      <c r="I34" s="12" t="n">
        <v>81000</v>
      </c>
      <c r="J34" s="14">
        <f>IF(I34=0,0,(H34-I34)/I34)</f>
        <v/>
      </c>
      <c r="K34" s="12" t="n">
        <v>0</v>
      </c>
      <c r="L34" s="12" t="n">
        <v>81000</v>
      </c>
      <c r="M34" s="14">
        <f>IF(L34=0,0,(K34-L34)/L34)</f>
        <v/>
      </c>
    </row>
    <row r="35">
      <c r="A35" s="15" t="inlineStr">
        <is>
          <t>Total Operating Expenses</t>
        </is>
      </c>
      <c r="B35" s="16">
        <f>SUM(B23:B34)</f>
        <v/>
      </c>
      <c r="C35" s="16">
        <f>SUM(C23:C34)</f>
        <v/>
      </c>
      <c r="D35" s="18">
        <f>IF(C35=0,0,(B35-C35)/C35)</f>
        <v/>
      </c>
      <c r="E35" s="16">
        <f>SUM(E23:E34)</f>
        <v/>
      </c>
      <c r="F35" s="16">
        <f>SUM(F23:F34)</f>
        <v/>
      </c>
      <c r="G35" s="18">
        <f>IF(F35=0,0,(E35-F35)/F35)</f>
        <v/>
      </c>
      <c r="H35" s="16">
        <f>SUM(H23:H34)</f>
        <v/>
      </c>
      <c r="I35" s="16">
        <f>SUM(I23:I34)</f>
        <v/>
      </c>
      <c r="J35" s="18">
        <f>IF(I35=0,0,(H35-I35)/I35)</f>
        <v/>
      </c>
      <c r="K35" s="16">
        <f>SUM(K23:K34)</f>
        <v/>
      </c>
      <c r="L35" s="16">
        <f>SUM(L23:L34)</f>
        <v/>
      </c>
      <c r="M35" s="18">
        <f>IF(L35=0,0,(K35-L35)/L35)</f>
        <v/>
      </c>
    </row>
    <row r="37">
      <c r="A37" s="6" t="inlineStr">
        <is>
          <t>Other Income</t>
        </is>
      </c>
    </row>
    <row r="38">
      <c r="A38" s="23" t="inlineStr">
        <is>
          <t>Interest Income</t>
        </is>
      </c>
      <c r="B38" s="8" t="n">
        <v>10500</v>
      </c>
      <c r="C38" s="8" t="n">
        <v>9000</v>
      </c>
      <c r="D38" s="10">
        <f>IF(C38=0,0,(B38-C38)/C38)</f>
        <v/>
      </c>
      <c r="E38" s="8" t="n">
        <v>0</v>
      </c>
      <c r="F38" s="8" t="n">
        <v>9000</v>
      </c>
      <c r="G38" s="10">
        <f>IF(F38=0,0,(E38-F38)/F38)</f>
        <v/>
      </c>
      <c r="H38" s="8" t="n">
        <v>0</v>
      </c>
      <c r="I38" s="8" t="n">
        <v>9000</v>
      </c>
      <c r="J38" s="10">
        <f>IF(I38=0,0,(H38-I38)/I38)</f>
        <v/>
      </c>
      <c r="K38" s="8" t="n">
        <v>0</v>
      </c>
      <c r="L38" s="8" t="n">
        <v>9000</v>
      </c>
      <c r="M38" s="10">
        <f>IF(L38=0,0,(K38-L38)/L38)</f>
        <v/>
      </c>
    </row>
    <row r="39">
      <c r="A39" s="28" t="inlineStr">
        <is>
          <t>Vendor Early-Pay Discounts Earned</t>
        </is>
      </c>
      <c r="B39" s="12" t="n">
        <v>85500</v>
      </c>
      <c r="C39" s="12" t="n">
        <v>77500</v>
      </c>
      <c r="D39" s="14">
        <f>IF(C39=0,0,(B39-C39)/C39)</f>
        <v/>
      </c>
      <c r="E39" s="12" t="n">
        <v>0</v>
      </c>
      <c r="F39" s="12" t="n">
        <v>96250</v>
      </c>
      <c r="G39" s="14">
        <f>IF(F39=0,0,(E39-F39)/F39)</f>
        <v/>
      </c>
      <c r="H39" s="12" t="n">
        <v>0</v>
      </c>
      <c r="I39" s="12" t="n">
        <v>96250</v>
      </c>
      <c r="J39" s="14">
        <f>IF(I39=0,0,(H39-I39)/I39)</f>
        <v/>
      </c>
      <c r="K39" s="12" t="n">
        <v>0</v>
      </c>
      <c r="L39" s="12" t="n">
        <v>75000</v>
      </c>
      <c r="M39" s="14">
        <f>IF(L39=0,0,(K39-L39)/L39)</f>
        <v/>
      </c>
    </row>
    <row r="40">
      <c r="A40" s="15" t="inlineStr">
        <is>
          <t>Total Other Income</t>
        </is>
      </c>
      <c r="B40" s="16">
        <f>SUM(B38:B39)</f>
        <v/>
      </c>
      <c r="C40" s="16">
        <f>SUM(C38:C39)</f>
        <v/>
      </c>
      <c r="D40" s="18">
        <f>IF(C40=0,0,(B40-C40)/C40)</f>
        <v/>
      </c>
      <c r="E40" s="16">
        <f>SUM(E38:E39)</f>
        <v/>
      </c>
      <c r="F40" s="16">
        <f>SUM(F38:F39)</f>
        <v/>
      </c>
      <c r="G40" s="18">
        <f>IF(F40=0,0,(E40-F40)/F40)</f>
        <v/>
      </c>
      <c r="H40" s="16">
        <f>SUM(H38:H39)</f>
        <v/>
      </c>
      <c r="I40" s="16">
        <f>SUM(I38:I39)</f>
        <v/>
      </c>
      <c r="J40" s="18">
        <f>IF(I40=0,0,(H40-I40)/I40)</f>
        <v/>
      </c>
      <c r="K40" s="16">
        <f>SUM(K38:K39)</f>
        <v/>
      </c>
      <c r="L40" s="16">
        <f>SUM(L38:L39)</f>
        <v/>
      </c>
      <c r="M40" s="18">
        <f>IF(L40=0,0,(K40-L40)/L40)</f>
        <v/>
      </c>
    </row>
    <row r="42">
      <c r="A42" s="6" t="inlineStr">
        <is>
          <t>Other Expenses</t>
        </is>
      </c>
    </row>
    <row r="43">
      <c r="A43" s="23" t="inlineStr">
        <is>
          <t>Interest Expense — LOC &amp; Equipment Loans</t>
        </is>
      </c>
      <c r="B43" s="8" t="n">
        <v>53700</v>
      </c>
      <c r="C43" s="8" t="n">
        <v>54000</v>
      </c>
      <c r="D43" s="10">
        <f>IF(C43=0,0,(B43-C43)/C43)</f>
        <v/>
      </c>
      <c r="E43" s="8" t="n">
        <v>0</v>
      </c>
      <c r="F43" s="8" t="n">
        <v>54000</v>
      </c>
      <c r="G43" s="10">
        <f>IF(F43=0,0,(E43-F43)/F43)</f>
        <v/>
      </c>
      <c r="H43" s="8" t="n">
        <v>0</v>
      </c>
      <c r="I43" s="8" t="n">
        <v>54000</v>
      </c>
      <c r="J43" s="10">
        <f>IF(I43=0,0,(H43-I43)/I43)</f>
        <v/>
      </c>
      <c r="K43" s="8" t="n">
        <v>0</v>
      </c>
      <c r="L43" s="8" t="n">
        <v>54000</v>
      </c>
      <c r="M43" s="10">
        <f>IF(L43=0,0,(K43-L43)/L43)</f>
        <v/>
      </c>
    </row>
    <row r="44">
      <c r="A44" s="15" t="inlineStr">
        <is>
          <t>Total Other Expenses</t>
        </is>
      </c>
      <c r="B44" s="16">
        <f>SUM(B43:B43)</f>
        <v/>
      </c>
      <c r="C44" s="16">
        <f>SUM(C43:C43)</f>
        <v/>
      </c>
      <c r="D44" s="18">
        <f>IF(C44=0,0,(B44-C44)/C44)</f>
        <v/>
      </c>
      <c r="E44" s="16">
        <f>SUM(E43:E43)</f>
        <v/>
      </c>
      <c r="F44" s="16">
        <f>SUM(F43:F43)</f>
        <v/>
      </c>
      <c r="G44" s="18">
        <f>IF(F44=0,0,(E44-F44)/F44)</f>
        <v/>
      </c>
      <c r="H44" s="16">
        <f>SUM(H43:H43)</f>
        <v/>
      </c>
      <c r="I44" s="16">
        <f>SUM(I43:I43)</f>
        <v/>
      </c>
      <c r="J44" s="18">
        <f>IF(I44=0,0,(H44-I44)/I44)</f>
        <v/>
      </c>
      <c r="K44" s="16">
        <f>SUM(K43:K43)</f>
        <v/>
      </c>
      <c r="L44" s="16">
        <f>SUM(L43:L43)</f>
        <v/>
      </c>
      <c r="M44" s="18">
        <f>IF(L44=0,0,(K44-L44)/L44)</f>
        <v/>
      </c>
    </row>
  </sheetData>
  <mergeCells count="3">
    <mergeCell ref="A3:M3"/>
    <mergeCell ref="A2:M2"/>
    <mergeCell ref="A1:M1"/>
  </mergeCells>
  <conditionalFormatting sqref="D6:D46">
    <cfRule type="cellIs" priority="1" operator="greaterThan" dxfId="0">
      <formula>0.05</formula>
    </cfRule>
    <cfRule type="cellIs" priority="2" operator="lessThan" dxfId="1">
      <formula>-0.05</formula>
    </cfRule>
  </conditionalFormatting>
  <conditionalFormatting sqref="G6:G46">
    <cfRule type="cellIs" priority="3" operator="greaterThan" dxfId="0">
      <formula>0.05</formula>
    </cfRule>
    <cfRule type="cellIs" priority="4" operator="lessThan" dxfId="1">
      <formula>-0.05</formula>
    </cfRule>
  </conditionalFormatting>
  <conditionalFormatting sqref="J6:J46">
    <cfRule type="cellIs" priority="5" operator="greaterThan" dxfId="0">
      <formula>0.05</formula>
    </cfRule>
    <cfRule type="cellIs" priority="6" operator="lessThan" dxfId="1">
      <formula>-0.05</formula>
    </cfRule>
  </conditionalFormatting>
  <conditionalFormatting sqref="M6:M46">
    <cfRule type="cellIs" priority="7" operator="greaterThan" dxfId="0">
      <formula>0.05</formula>
    </cfRule>
    <cfRule type="cellIs" priority="8" operator="lessThan" dxfId="1">
      <formula>-0.05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e5e7eb"/>
    <outlinePr summaryBelow="1" summaryRight="1"/>
    <pageSetUpPr fitToPage="1"/>
  </sheetPr>
  <dimension ref="A1:N1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Heartland Building Supply</t>
        </is>
      </c>
    </row>
    <row r="2">
      <c r="A2" s="2" t="inlineStr">
        <is>
          <t>Budget vs Actual — 12-Month Trend</t>
        </is>
      </c>
    </row>
    <row r="3">
      <c r="A3" s="3" t="inlineStr">
        <is>
          <t>As of March 31, 2026</t>
        </is>
      </c>
    </row>
    <row r="4" ht="6" customHeight="1"/>
    <row r="5">
      <c r="A5" s="4" t="inlineStr">
        <is>
          <t>Metric</t>
        </is>
      </c>
      <c r="B5" s="29" t="inlineStr">
        <is>
          <t>Jan</t>
        </is>
      </c>
      <c r="C5" s="29" t="inlineStr">
        <is>
          <t>Feb</t>
        </is>
      </c>
      <c r="D5" s="29" t="inlineStr">
        <is>
          <t>Mar</t>
        </is>
      </c>
      <c r="E5" s="29" t="inlineStr">
        <is>
          <t>Apr</t>
        </is>
      </c>
      <c r="F5" s="29" t="inlineStr">
        <is>
          <t>May</t>
        </is>
      </c>
      <c r="G5" s="29" t="inlineStr">
        <is>
          <t>Jun</t>
        </is>
      </c>
      <c r="H5" s="29" t="inlineStr">
        <is>
          <t>Jul</t>
        </is>
      </c>
      <c r="I5" s="29" t="inlineStr">
        <is>
          <t>Aug</t>
        </is>
      </c>
      <c r="J5" s="29" t="inlineStr">
        <is>
          <t>Sep</t>
        </is>
      </c>
      <c r="K5" s="29" t="inlineStr">
        <is>
          <t>Oct</t>
        </is>
      </c>
      <c r="L5" s="29" t="inlineStr">
        <is>
          <t>Nov</t>
        </is>
      </c>
      <c r="M5" s="29" t="inlineStr">
        <is>
          <t>Dec</t>
        </is>
      </c>
    </row>
    <row r="6">
      <c r="A6" s="23" t="inlineStr">
        <is>
          <t>Revenue — Actual</t>
        </is>
      </c>
      <c r="B6" s="8" t="n">
        <v>3750000</v>
      </c>
      <c r="C6" s="8" t="n">
        <v>3611000</v>
      </c>
      <c r="D6" s="8" t="n">
        <v>4030000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</row>
    <row r="7">
      <c r="A7" s="23" t="inlineStr">
        <is>
          <t>Revenue — Budget</t>
        </is>
      </c>
      <c r="B7" s="8" t="n">
        <v>3540000</v>
      </c>
      <c r="C7" s="8" t="n">
        <v>3540000</v>
      </c>
      <c r="D7" s="8" t="n">
        <v>3894000</v>
      </c>
      <c r="E7" s="8" t="n">
        <v>4248000</v>
      </c>
      <c r="F7" s="8" t="n">
        <v>4602000</v>
      </c>
      <c r="G7" s="8" t="n">
        <v>4779000</v>
      </c>
      <c r="H7" s="8" t="n">
        <v>4779000</v>
      </c>
      <c r="I7" s="8" t="n">
        <v>4602000</v>
      </c>
      <c r="J7" s="8" t="n">
        <v>4248000</v>
      </c>
      <c r="K7" s="8" t="n">
        <v>3894000</v>
      </c>
      <c r="L7" s="8" t="n">
        <v>3540000</v>
      </c>
      <c r="M7" s="8" t="n">
        <v>3186000</v>
      </c>
    </row>
    <row r="8">
      <c r="A8" s="30" t="inlineStr">
        <is>
          <t>Revenue — Variance $</t>
        </is>
      </c>
      <c r="B8" s="31">
        <f>B6-B7</f>
        <v/>
      </c>
      <c r="C8" s="31">
        <f>C6-C7</f>
        <v/>
      </c>
      <c r="D8" s="31">
        <f>D6-D7</f>
        <v/>
      </c>
      <c r="E8" s="31">
        <f>E6-E7</f>
        <v/>
      </c>
      <c r="F8" s="31">
        <f>F6-F7</f>
        <v/>
      </c>
      <c r="G8" s="31">
        <f>G6-G7</f>
        <v/>
      </c>
      <c r="H8" s="31">
        <f>H6-H7</f>
        <v/>
      </c>
      <c r="I8" s="31">
        <f>I6-I7</f>
        <v/>
      </c>
      <c r="J8" s="31">
        <f>J6-J7</f>
        <v/>
      </c>
      <c r="K8" s="31">
        <f>K6-K7</f>
        <v/>
      </c>
      <c r="L8" s="31">
        <f>L6-L7</f>
        <v/>
      </c>
      <c r="M8" s="31">
        <f>M6-M7</f>
        <v/>
      </c>
    </row>
    <row r="9">
      <c r="A9" s="23" t="inlineStr">
        <is>
          <t>Gross Profit — Actual</t>
        </is>
      </c>
      <c r="B9" s="8" t="n">
        <v>782000</v>
      </c>
      <c r="C9" s="8" t="n">
        <v>733000</v>
      </c>
      <c r="D9" s="8" t="n">
        <v>857000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</row>
    <row r="10">
      <c r="A10" s="23" t="inlineStr">
        <is>
          <t>Gross Profit — Budget</t>
        </is>
      </c>
      <c r="B10" s="8" t="n">
        <v>740000</v>
      </c>
      <c r="C10" s="8" t="n">
        <v>740000</v>
      </c>
      <c r="D10" s="8" t="n">
        <v>833000</v>
      </c>
      <c r="E10" s="8" t="n">
        <v>926000</v>
      </c>
      <c r="F10" s="8" t="n">
        <v>1014000</v>
      </c>
      <c r="G10" s="8" t="n">
        <v>1058000</v>
      </c>
      <c r="H10" s="8" t="n">
        <v>1058000</v>
      </c>
      <c r="I10" s="8" t="n">
        <v>1014000</v>
      </c>
      <c r="J10" s="8" t="n">
        <v>926000</v>
      </c>
      <c r="K10" s="8" t="n">
        <v>833000</v>
      </c>
      <c r="L10" s="8" t="n">
        <v>740000</v>
      </c>
      <c r="M10" s="8" t="n">
        <v>647000</v>
      </c>
    </row>
    <row r="11">
      <c r="A11" s="30" t="inlineStr">
        <is>
          <t>Gross Profit — Variance $</t>
        </is>
      </c>
      <c r="B11" s="31">
        <f>B9-B10</f>
        <v/>
      </c>
      <c r="C11" s="31">
        <f>C9-C10</f>
        <v/>
      </c>
      <c r="D11" s="31">
        <f>D9-D10</f>
        <v/>
      </c>
      <c r="E11" s="31">
        <f>E9-E10</f>
        <v/>
      </c>
      <c r="F11" s="31">
        <f>F9-F10</f>
        <v/>
      </c>
      <c r="G11" s="31">
        <f>G9-G10</f>
        <v/>
      </c>
      <c r="H11" s="31">
        <f>H9-H10</f>
        <v/>
      </c>
      <c r="I11" s="31">
        <f>I9-I10</f>
        <v/>
      </c>
      <c r="J11" s="31">
        <f>J9-J10</f>
        <v/>
      </c>
      <c r="K11" s="31">
        <f>K9-K10</f>
        <v/>
      </c>
      <c r="L11" s="31">
        <f>L9-L10</f>
        <v/>
      </c>
      <c r="M11" s="31">
        <f>M9-M10</f>
        <v/>
      </c>
    </row>
    <row r="12">
      <c r="A12" s="23" t="inlineStr">
        <is>
          <t>Operating Income — Actual</t>
        </is>
      </c>
      <c r="B12" s="8" t="n">
        <v>107500</v>
      </c>
      <c r="C12" s="8" t="n">
        <v>72700</v>
      </c>
      <c r="D12" s="8" t="n">
        <v>149800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</row>
    <row r="13">
      <c r="A13" s="23" t="inlineStr">
        <is>
          <t>Operating Income — Budget</t>
        </is>
      </c>
      <c r="B13" s="8" t="n">
        <v>98000</v>
      </c>
      <c r="C13" s="8" t="n">
        <v>98000</v>
      </c>
      <c r="D13" s="8" t="n">
        <v>170000</v>
      </c>
      <c r="E13" s="8" t="n">
        <v>248000</v>
      </c>
      <c r="F13" s="8" t="n">
        <v>319000</v>
      </c>
      <c r="G13" s="8" t="n">
        <v>347000</v>
      </c>
      <c r="H13" s="8" t="n">
        <v>354000</v>
      </c>
      <c r="I13" s="8" t="n">
        <v>319000</v>
      </c>
      <c r="J13" s="8" t="n">
        <v>241000</v>
      </c>
      <c r="K13" s="8" t="n">
        <v>169000</v>
      </c>
      <c r="L13" s="8" t="n">
        <v>90000</v>
      </c>
      <c r="M13" s="8" t="n">
        <v>6000</v>
      </c>
    </row>
    <row r="14">
      <c r="A14" s="30" t="inlineStr">
        <is>
          <t>Operating Income — Variance $</t>
        </is>
      </c>
      <c r="B14" s="31">
        <f>B12-B13</f>
        <v/>
      </c>
      <c r="C14" s="31">
        <f>C12-C13</f>
        <v/>
      </c>
      <c r="D14" s="31">
        <f>D12-D13</f>
        <v/>
      </c>
      <c r="E14" s="31">
        <f>E12-E13</f>
        <v/>
      </c>
      <c r="F14" s="31">
        <f>F12-F13</f>
        <v/>
      </c>
      <c r="G14" s="31">
        <f>G12-G13</f>
        <v/>
      </c>
      <c r="H14" s="31">
        <f>H12-H13</f>
        <v/>
      </c>
      <c r="I14" s="31">
        <f>I12-I13</f>
        <v/>
      </c>
      <c r="J14" s="31">
        <f>J12-J13</f>
        <v/>
      </c>
      <c r="K14" s="31">
        <f>K12-K13</f>
        <v/>
      </c>
      <c r="L14" s="31">
        <f>L12-L13</f>
        <v/>
      </c>
      <c r="M14" s="31">
        <f>M12-M13</f>
        <v/>
      </c>
    </row>
    <row r="15">
      <c r="A15" s="23" t="inlineStr">
        <is>
          <t>Net Income — Actual</t>
        </is>
      </c>
      <c r="B15" s="8" t="n">
        <v>121500</v>
      </c>
      <c r="C15" s="8" t="n">
        <v>85000</v>
      </c>
      <c r="D15" s="8" t="n">
        <v>165800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</row>
    <row r="16">
      <c r="A16" s="23" t="inlineStr">
        <is>
          <t>Net Income — Budget</t>
        </is>
      </c>
      <c r="B16" s="8" t="n">
        <v>108000</v>
      </c>
      <c r="C16" s="8" t="n">
        <v>108000</v>
      </c>
      <c r="D16" s="8" t="n">
        <v>182500</v>
      </c>
      <c r="E16" s="8" t="n">
        <v>263000</v>
      </c>
      <c r="F16" s="8" t="n">
        <v>336500</v>
      </c>
      <c r="G16" s="8" t="n">
        <v>365750</v>
      </c>
      <c r="H16" s="8" t="n">
        <v>372750</v>
      </c>
      <c r="I16" s="8" t="n">
        <v>336500</v>
      </c>
      <c r="J16" s="8" t="n">
        <v>256000</v>
      </c>
      <c r="K16" s="8" t="n">
        <v>181500</v>
      </c>
      <c r="L16" s="8" t="n">
        <v>100000</v>
      </c>
      <c r="M16" s="8" t="n">
        <v>13500</v>
      </c>
    </row>
    <row r="17">
      <c r="A17" s="30" t="inlineStr">
        <is>
          <t>Net Income — Variance $</t>
        </is>
      </c>
      <c r="B17" s="31">
        <f>B15-B16</f>
        <v/>
      </c>
      <c r="C17" s="31">
        <f>C15-C16</f>
        <v/>
      </c>
      <c r="D17" s="31">
        <f>D15-D16</f>
        <v/>
      </c>
      <c r="E17" s="31">
        <f>E15-E16</f>
        <v/>
      </c>
      <c r="F17" s="31">
        <f>F15-F16</f>
        <v/>
      </c>
      <c r="G17" s="31">
        <f>G15-G16</f>
        <v/>
      </c>
      <c r="H17" s="31">
        <f>H15-H16</f>
        <v/>
      </c>
      <c r="I17" s="31">
        <f>I15-I16</f>
        <v/>
      </c>
      <c r="J17" s="31">
        <f>J15-J16</f>
        <v/>
      </c>
      <c r="K17" s="31">
        <f>K15-K16</f>
        <v/>
      </c>
      <c r="L17" s="31">
        <f>L15-L16</f>
        <v/>
      </c>
      <c r="M17" s="31">
        <f>M15-M16</f>
        <v/>
      </c>
    </row>
    <row r="18">
      <c r="A18" s="30" t="inlineStr">
        <is>
          <t>Net Income — Cumulative Variance $</t>
        </is>
      </c>
      <c r="B18" s="31">
        <f>B17</f>
        <v/>
      </c>
      <c r="C18" s="31">
        <f>B18+C17</f>
        <v/>
      </c>
      <c r="D18" s="31">
        <f>C18+D17</f>
        <v/>
      </c>
      <c r="E18" s="31">
        <f>D18+E17</f>
        <v/>
      </c>
      <c r="F18" s="31">
        <f>E18+F17</f>
        <v/>
      </c>
      <c r="G18" s="31">
        <f>F18+G17</f>
        <v/>
      </c>
      <c r="H18" s="31">
        <f>G18+H17</f>
        <v/>
      </c>
      <c r="I18" s="31">
        <f>H18+I17</f>
        <v/>
      </c>
      <c r="J18" s="31">
        <f>I18+J17</f>
        <v/>
      </c>
      <c r="K18" s="31">
        <f>J18+K17</f>
        <v/>
      </c>
      <c r="L18" s="31">
        <f>K18+L17</f>
        <v/>
      </c>
      <c r="M18" s="31">
        <f>L18+M17</f>
        <v/>
      </c>
    </row>
  </sheetData>
  <mergeCells count="3">
    <mergeCell ref="A3:N3"/>
    <mergeCell ref="A2:N2"/>
    <mergeCell ref="A1:N1"/>
  </mergeCells>
  <conditionalFormatting sqref="B8:M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1:M1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B14:M1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B17:M17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B18:M18">
    <cfRule type="cellIs" priority="9" operator="greaterThan" dxfId="0">
      <formula>0</formula>
    </cfRule>
    <cfRule type="cellIs" priority="10" operator="lessThan" dxfId="1">
      <formula>0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1404 Labs</dc:creator>
  <dc:title xmlns:dc="http://purl.org/dc/elements/1.1/">Budget vs Actual</dc:title>
  <dcterms:created xmlns:dcterms="http://purl.org/dc/terms/" xmlns:xsi="http://www.w3.org/2001/XMLSchema-instance" xsi:type="dcterms:W3CDTF">2026-04-12T21:32:11Z</dcterms:created>
  <dcterms:modified xmlns:dcterms="http://purl.org/dc/terms/" xmlns:xsi="http://www.w3.org/2001/XMLSchema-instance" xsi:type="dcterms:W3CDTF">2026-04-12T21:32:11Z</dcterms:modified>
</cp:coreProperties>
</file>