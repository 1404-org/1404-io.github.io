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99-NEC List" sheetId="1" state="visible" r:id="rId1"/>
    <sheet xmlns:r="http://schemas.openxmlformats.org/officeDocument/2006/relationships" name="1099-MISC List" sheetId="2" state="visible" r:id="rId2"/>
    <sheet xmlns:r="http://schemas.openxmlformats.org/officeDocument/2006/relationships" name="Missing W-9s" sheetId="3" state="visible" r:id="rId3"/>
    <sheet xmlns:r="http://schemas.openxmlformats.org/officeDocument/2006/relationships" name="Excluded Vendors" sheetId="4" state="visible" r:id="rId4"/>
    <sheet xmlns:r="http://schemas.openxmlformats.org/officeDocument/2006/relationships" name="Reconciliation" sheetId="5" state="visible" r:id="rId5"/>
  </sheets>
  <definedNames>
    <definedName name="GLTotal">'Reconciliation'!$C$11</definedName>
    <definedName name="Total1099NEC">'Reconciliation'!$C$14</definedName>
    <definedName name="Total1099MISC">'Reconciliation'!$C$15</definedName>
    <definedName name="TotalAccountedFor">'Reconciliation'!$C$25</definedName>
    <definedName name="Variance">'Reconciliation'!$C$26</definedName>
    <definedName name="_xlnm._FilterDatabase" localSheetId="0" hidden="1">'1099-NEC List'!$A$6:$U$12</definedName>
    <definedName name="_xlnm.Print_Titles" localSheetId="0">'1099-NEC List'!$1:$6</definedName>
    <definedName name="_xlnm._FilterDatabase" localSheetId="1" hidden="1">'1099-MISC List'!$A$6:$V$8</definedName>
    <definedName name="_xlnm.Print_Titles" localSheetId="1">'1099-MISC List'!$1:$6</definedName>
    <definedName name="_xlnm.Print_Titles" localSheetId="2">'Missing W-9s'!$1:$5</definedName>
    <definedName name="_xlnm.Print_Titles" localSheetId="3">'Excluded Vendors'!$1:$5</definedName>
    <definedName name="_xlnm.Print_Titles" localSheetId="4">'Reconciliation'!$1:$5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.00;($#,##0.00);&quot;-&quot;"/>
  </numFmts>
  <fonts count="13">
    <font>
      <name val="Calibri"/>
      <family val="2"/>
      <color theme="1"/>
      <sz val="11"/>
      <scheme val="minor"/>
    </font>
    <font>
      <name val="Inter"/>
      <b val="1"/>
      <color rgb="00111010"/>
      <sz val="14"/>
    </font>
    <font>
      <name val="Inter"/>
      <b val="1"/>
      <color rgb="00111010"/>
      <sz val="12"/>
    </font>
    <font>
      <name val="Inter"/>
      <color rgb="009a948c"/>
      <sz val="10"/>
    </font>
    <font>
      <name val="Inter"/>
      <b val="1"/>
      <color rgb="00FFFFFF"/>
      <sz val="9"/>
    </font>
    <font>
      <name val="Inter"/>
      <color rgb="00111010"/>
      <sz val="10"/>
    </font>
    <font>
      <name val="Inter"/>
      <color rgb="000000FF"/>
      <sz val="10"/>
    </font>
    <font>
      <name val="Inter"/>
      <color rgb="00000000"/>
      <sz val="10"/>
    </font>
    <font>
      <name val="Inter"/>
      <b val="1"/>
      <color rgb="00DC2626"/>
      <sz val="10"/>
    </font>
    <font>
      <name val="Inter"/>
      <color rgb="00DC2626"/>
      <sz val="10"/>
    </font>
    <font>
      <name val="Inter"/>
      <b val="1"/>
      <color rgb="00000000"/>
      <sz val="10"/>
    </font>
    <font>
      <name val="Inter"/>
      <color rgb="00D97706"/>
      <sz val="10"/>
    </font>
    <font>
      <name val="Inter"/>
      <b val="1"/>
      <color rgb="00111010"/>
      <sz val="11"/>
    </font>
  </fonts>
  <fills count="5">
    <fill>
      <patternFill/>
    </fill>
    <fill>
      <patternFill patternType="gray125"/>
    </fill>
    <fill>
      <patternFill patternType="solid">
        <fgColor rgb="00111010"/>
        <bgColor rgb="00111010"/>
      </patternFill>
    </fill>
    <fill>
      <patternFill patternType="solid">
        <fgColor rgb="00f9fafb"/>
        <bgColor rgb="00f9fafb"/>
      </patternFill>
    </fill>
    <fill>
      <patternFill patternType="solid">
        <fgColor rgb="00FEE2E2"/>
        <bgColor rgb="00FEE2E2"/>
      </patternFill>
    </fill>
  </fills>
  <borders count="5">
    <border>
      <left/>
      <right/>
      <top/>
      <bottom/>
      <diagonal/>
    </border>
    <border>
      <bottom style="medium">
        <color rgb="00111010"/>
      </bottom>
    </border>
    <border>
      <bottom style="hair">
        <color rgb="00D9D9D9"/>
      </bottom>
    </border>
    <border>
      <top style="double">
        <color rgb="00000000"/>
      </top>
      <bottom style="thin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 wrapText="1"/>
    </xf>
    <xf numFmtId="0" fontId="5" fillId="0" borderId="2" applyAlignment="1" pivotButton="0" quotePrefix="0" xfId="0">
      <alignment horizontal="left" vertical="center" wrapText="1"/>
    </xf>
    <xf numFmtId="49" fontId="5" fillId="0" borderId="2" applyAlignment="1" pivotButton="0" quotePrefix="0" xfId="0">
      <alignment horizontal="left" vertical="center" wrapText="1"/>
    </xf>
    <xf numFmtId="164" fontId="6" fillId="0" borderId="2" applyAlignment="1" pivotButton="0" quotePrefix="0" xfId="0">
      <alignment horizontal="right" vertical="center" wrapText="1"/>
    </xf>
    <xf numFmtId="164" fontId="7" fillId="0" borderId="2" applyAlignment="1" pivotButton="0" quotePrefix="0" xfId="0">
      <alignment horizontal="right" vertical="center" wrapText="1"/>
    </xf>
    <xf numFmtId="0" fontId="5" fillId="3" borderId="2" applyAlignment="1" pivotButton="0" quotePrefix="0" xfId="0">
      <alignment horizontal="left" vertical="center" wrapText="1"/>
    </xf>
    <xf numFmtId="49" fontId="5" fillId="3" borderId="2" applyAlignment="1" pivotButton="0" quotePrefix="0" xfId="0">
      <alignment horizontal="left" vertical="center" wrapText="1"/>
    </xf>
    <xf numFmtId="164" fontId="6" fillId="3" borderId="2" applyAlignment="1" pivotButton="0" quotePrefix="0" xfId="0">
      <alignment horizontal="right" vertical="center" wrapText="1"/>
    </xf>
    <xf numFmtId="164" fontId="7" fillId="3" borderId="2" applyAlignment="1" pivotButton="0" quotePrefix="0" xfId="0">
      <alignment horizontal="right" vertical="center" wrapText="1"/>
    </xf>
    <xf numFmtId="0" fontId="5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vertical="center" wrapText="1"/>
    </xf>
    <xf numFmtId="49" fontId="5" fillId="4" borderId="2" applyAlignment="1" pivotButton="0" quotePrefix="0" xfId="0">
      <alignment horizontal="left" vertical="center" wrapText="1"/>
    </xf>
    <xf numFmtId="164" fontId="6" fillId="4" borderId="2" applyAlignment="1" pivotButton="0" quotePrefix="0" xfId="0">
      <alignment horizontal="right" vertical="center" wrapText="1"/>
    </xf>
    <xf numFmtId="164" fontId="7" fillId="4" borderId="2" applyAlignment="1" pivotButton="0" quotePrefix="0" xfId="0">
      <alignment horizontal="right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10" fillId="0" borderId="3" pivotButton="0" quotePrefix="0" xfId="0"/>
    <xf numFmtId="0" fontId="10" fillId="0" borderId="3" applyAlignment="1" pivotButton="0" quotePrefix="0" xfId="0">
      <alignment horizontal="left" vertical="center" wrapText="1"/>
    </xf>
    <xf numFmtId="0" fontId="0" fillId="0" borderId="3" pivotButton="0" quotePrefix="0" xfId="0"/>
    <xf numFmtId="164" fontId="10" fillId="0" borderId="3" applyAlignment="1" pivotButton="0" quotePrefix="0" xfId="0">
      <alignment horizontal="right" vertical="center" wrapText="1"/>
    </xf>
    <xf numFmtId="0" fontId="8" fillId="0" borderId="0" pivotButton="0" quotePrefix="0" xfId="0"/>
    <xf numFmtId="0" fontId="11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12" fillId="0" borderId="0" pivotButton="0" quotePrefix="0" xfId="0"/>
    <xf numFmtId="0" fontId="0" fillId="0" borderId="4" pivotButton="0" quotePrefix="0" xfId="0"/>
    <xf numFmtId="0" fontId="10" fillId="0" borderId="4" applyAlignment="1" pivotButton="0" quotePrefix="0" xfId="0">
      <alignment horizontal="left" vertical="center" wrapText="1"/>
    </xf>
    <xf numFmtId="164" fontId="10" fillId="0" borderId="4" applyAlignment="1" pivotButton="0" quotePrefix="0" xfId="0">
      <alignment horizontal="right" vertical="center" wrapText="1"/>
    </xf>
    <xf numFmtId="0" fontId="5" fillId="0" borderId="4" applyAlignment="1" pivotButton="0" quotePrefix="0" xfId="0">
      <alignment horizontal="left" vertical="center" wrapText="1"/>
    </xf>
    <xf numFmtId="0" fontId="0" fillId="0" borderId="2" pivotButton="0" quotePrefix="0" xfId="0"/>
    <xf numFmtId="165" fontId="10" fillId="0" borderId="3" applyAlignment="1" pivotButton="0" quotePrefix="0" xfId="0">
      <alignment horizontal="right" vertical="center" wrapText="1"/>
    </xf>
    <xf numFmtId="0" fontId="5" fillId="0" borderId="3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right" vertical="center" wrapText="1"/>
    </xf>
  </cellXfs>
  <cellStyles count="1">
    <cellStyle name="Normal" xfId="0" builtinId="0" hidden="0"/>
  </cellStyles>
  <dxfs count="4">
    <dxf>
      <font>
        <color rgb="00D97706"/>
      </font>
      <fill>
        <patternFill patternType="solid">
          <fgColor rgb="00FEF3C7"/>
          <bgColor rgb="00FEF3C7"/>
        </patternFill>
      </fill>
    </dxf>
    <dxf>
      <font>
        <b val="1"/>
        <color rgb="00DC2626"/>
      </font>
      <fill>
        <patternFill patternType="solid">
          <fgColor rgb="00FEE2E2"/>
          <bgColor rgb="00FEE2E2"/>
        </patternFill>
      </fill>
    </dxf>
    <dxf>
      <font>
        <b val="1"/>
        <color rgb="00DC2626"/>
        <sz val="12"/>
      </font>
      <fill>
        <patternFill patternType="solid">
          <fgColor rgb="00FEE2E2"/>
          <bgColor rgb="00FEE2E2"/>
        </patternFill>
      </fill>
    </dxf>
    <dxf>
      <font>
        <b val="1"/>
        <color rgb="00059669"/>
      </font>
      <fill>
        <patternFill patternType="solid">
          <fgColor rgb="00D1FAE5"/>
          <bgColor rgb="00D1FA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010"/>
    <outlinePr summaryBelow="1" summaryRight="1"/>
    <pageSetUpPr fitToPage="1"/>
  </sheetPr>
  <dimension ref="A1:U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0" customWidth="1" min="4" max="4"/>
    <col width="26" customWidth="1" min="5" max="5"/>
    <col width="14" customWidth="1" min="6" max="6"/>
    <col width="8" customWidth="1" min="7" max="7"/>
    <col width="10" customWidth="1" min="8" max="8"/>
    <col width="14" customWidth="1" min="9" max="9"/>
    <col width="16" customWidth="1" min="10" max="10"/>
    <col width="16" customWidth="1" min="11" max="11"/>
    <col width="16" customWidth="1" min="12" max="12"/>
    <col width="18" customWidth="1" min="13" max="13"/>
    <col width="10" customWidth="1" min="14" max="14"/>
    <col width="10" customWidth="1" min="15" max="15"/>
    <col width="10" customWidth="1" min="16" max="16"/>
    <col width="12" customWidth="1" min="17" max="17"/>
    <col width="10" customWidth="1" min="18" max="18"/>
    <col width="10" customWidth="1" min="19" max="19"/>
    <col width="14" customWidth="1" min="20" max="20"/>
    <col width="30" customWidth="1" min="21" max="21"/>
  </cols>
  <sheetData>
    <row r="1">
      <c r="A1" s="1" t="inlineStr">
        <is>
          <t>Acme Construction LLC</t>
        </is>
      </c>
    </row>
    <row r="2">
      <c r="A2" s="2" t="inlineStr">
        <is>
          <t>1099-NEC List — Nonemployee Compensation</t>
        </is>
      </c>
    </row>
    <row r="3">
      <c r="A3" s="3" t="inlineStr">
        <is>
          <t>Tax Year 2025 | Prepared January 15, 2026</t>
        </is>
      </c>
    </row>
    <row r="4">
      <c r="A4" s="3" t="inlineStr">
        <is>
          <t>Prepared by 1404 Labs | Threshold: $600</t>
        </is>
      </c>
    </row>
    <row r="5" ht="6" customHeight="1"/>
    <row r="6">
      <c r="A6" s="4" t="inlineStr">
        <is>
          <t>Vendor Name (Legal)</t>
        </is>
      </c>
      <c r="B6" s="4" t="inlineStr">
        <is>
          <t>DBA / Business Name</t>
        </is>
      </c>
      <c r="C6" s="4" t="inlineStr">
        <is>
          <t>TIN / EIN</t>
        </is>
      </c>
      <c r="D6" s="4" t="inlineStr">
        <is>
          <t>TIN Type</t>
        </is>
      </c>
      <c r="E6" s="4" t="inlineStr">
        <is>
          <t>Address</t>
        </is>
      </c>
      <c r="F6" s="4" t="inlineStr">
        <is>
          <t>City</t>
        </is>
      </c>
      <c r="G6" s="4" t="inlineStr">
        <is>
          <t>State</t>
        </is>
      </c>
      <c r="H6" s="4" t="inlineStr">
        <is>
          <t>ZIP</t>
        </is>
      </c>
      <c r="I6" s="4" t="inlineStr">
        <is>
          <t>Entity Type</t>
        </is>
      </c>
      <c r="J6" s="5" t="inlineStr">
        <is>
          <t>Total Payments</t>
        </is>
      </c>
      <c r="K6" s="5" t="inlineStr">
        <is>
          <t>Credit Card / 3rd Party</t>
        </is>
      </c>
      <c r="L6" s="5" t="inlineStr">
        <is>
          <t>Materials Only</t>
        </is>
      </c>
      <c r="M6" s="5" t="inlineStr">
        <is>
          <t>1099 Reportable Amount</t>
        </is>
      </c>
      <c r="N6" s="4" t="inlineStr">
        <is>
          <t>1099 Type</t>
        </is>
      </c>
      <c r="O6" s="4" t="inlineStr">
        <is>
          <t>1099 Box</t>
        </is>
      </c>
      <c r="P6" s="4" t="inlineStr">
        <is>
          <t>W-9 on File?</t>
        </is>
      </c>
      <c r="Q6" s="4" t="inlineStr">
        <is>
          <t>W-9 Date</t>
        </is>
      </c>
      <c r="R6" s="4" t="inlineStr">
        <is>
          <t>TIN Verified?</t>
        </is>
      </c>
      <c r="S6" s="4" t="inlineStr">
        <is>
          <t>Backup W/H?</t>
        </is>
      </c>
      <c r="T6" s="5" t="inlineStr">
        <is>
          <t>Backup W/H Amt</t>
        </is>
      </c>
      <c r="U6" s="4" t="inlineStr">
        <is>
          <t>Notes</t>
        </is>
      </c>
    </row>
    <row r="7">
      <c r="A7" s="6" t="inlineStr">
        <is>
          <t>Martinez Drywall LLC</t>
        </is>
      </c>
      <c r="B7" s="6" t="n"/>
      <c r="C7" s="6" t="inlineStr">
        <is>
          <t>XXX-XX-8821</t>
        </is>
      </c>
      <c r="D7" s="6" t="inlineStr">
        <is>
          <t>EIN</t>
        </is>
      </c>
      <c r="E7" s="6" t="inlineStr">
        <is>
          <t>450 Industrial Blvd</t>
        </is>
      </c>
      <c r="F7" s="6" t="inlineStr">
        <is>
          <t>Dearborn</t>
        </is>
      </c>
      <c r="G7" s="6" t="inlineStr">
        <is>
          <t>MI</t>
        </is>
      </c>
      <c r="H7" s="7" t="inlineStr">
        <is>
          <t>48124</t>
        </is>
      </c>
      <c r="I7" s="6" t="inlineStr">
        <is>
          <t>LLC</t>
        </is>
      </c>
      <c r="J7" s="8" t="n">
        <v>187500</v>
      </c>
      <c r="K7" s="8" t="n">
        <v>0</v>
      </c>
      <c r="L7" s="8" t="n">
        <v>0</v>
      </c>
      <c r="M7" s="9">
        <f>J7-K7-L7</f>
        <v/>
      </c>
      <c r="N7" s="6" t="inlineStr">
        <is>
          <t>NEC</t>
        </is>
      </c>
      <c r="O7" s="6" t="inlineStr">
        <is>
          <t>Box 1</t>
        </is>
      </c>
      <c r="P7" s="6" t="inlineStr">
        <is>
          <t>YES</t>
        </is>
      </c>
      <c r="Q7" s="6" t="inlineStr">
        <is>
          <t>03/15/2025</t>
        </is>
      </c>
      <c r="R7" s="6" t="inlineStr">
        <is>
          <t>YES</t>
        </is>
      </c>
      <c r="S7" s="6" t="inlineStr">
        <is>
          <t>NO</t>
        </is>
      </c>
      <c r="T7" s="8" t="n">
        <v>0</v>
      </c>
      <c r="U7" s="6" t="inlineStr">
        <is>
          <t>Largest sub — multiple projects</t>
        </is>
      </c>
    </row>
    <row r="8">
      <c r="A8" s="10" t="inlineStr">
        <is>
          <t>Apex Roofing LLC</t>
        </is>
      </c>
      <c r="B8" s="10" t="n"/>
      <c r="C8" s="10" t="inlineStr">
        <is>
          <t>XXX-XX-3366</t>
        </is>
      </c>
      <c r="D8" s="10" t="inlineStr">
        <is>
          <t>EIN</t>
        </is>
      </c>
      <c r="E8" s="10" t="inlineStr">
        <is>
          <t>900 Shingle Rd</t>
        </is>
      </c>
      <c r="F8" s="10" t="inlineStr">
        <is>
          <t>Novi</t>
        </is>
      </c>
      <c r="G8" s="10" t="inlineStr">
        <is>
          <t>MI</t>
        </is>
      </c>
      <c r="H8" s="11" t="inlineStr">
        <is>
          <t>48375</t>
        </is>
      </c>
      <c r="I8" s="10" t="inlineStr">
        <is>
          <t>LLC</t>
        </is>
      </c>
      <c r="J8" s="12" t="n">
        <v>112000</v>
      </c>
      <c r="K8" s="12" t="n">
        <v>0</v>
      </c>
      <c r="L8" s="12" t="n">
        <v>0</v>
      </c>
      <c r="M8" s="13">
        <f>J8-K8-L8</f>
        <v/>
      </c>
      <c r="N8" s="10" t="inlineStr">
        <is>
          <t>NEC</t>
        </is>
      </c>
      <c r="O8" s="10" t="inlineStr">
        <is>
          <t>Box 1</t>
        </is>
      </c>
      <c r="P8" s="10" t="inlineStr">
        <is>
          <t>YES</t>
        </is>
      </c>
      <c r="Q8" s="10" t="inlineStr">
        <is>
          <t>02/10/2025</t>
        </is>
      </c>
      <c r="R8" s="10" t="inlineStr">
        <is>
          <t>YES</t>
        </is>
      </c>
      <c r="S8" s="10" t="inlineStr">
        <is>
          <t>NO</t>
        </is>
      </c>
      <c r="T8" s="12" t="n">
        <v>0</v>
      </c>
      <c r="U8" s="10" t="n"/>
    </row>
    <row r="9">
      <c r="A9" s="14" t="inlineStr">
        <is>
          <t>Rodriguez Framing</t>
        </is>
      </c>
      <c r="B9" s="14" t="n"/>
      <c r="C9" s="15" t="inlineStr">
        <is>
          <t>MISSING</t>
        </is>
      </c>
      <c r="D9" s="14" t="n"/>
      <c r="E9" s="14" t="inlineStr">
        <is>
          <t>1847 Carpenter Ave</t>
        </is>
      </c>
      <c r="F9" s="14" t="inlineStr">
        <is>
          <t>Ypsilanti</t>
        </is>
      </c>
      <c r="G9" s="14" t="inlineStr">
        <is>
          <t>MI</t>
        </is>
      </c>
      <c r="H9" s="16" t="inlineStr">
        <is>
          <t>48197</t>
        </is>
      </c>
      <c r="I9" s="14" t="inlineStr">
        <is>
          <t>Sole Prop</t>
        </is>
      </c>
      <c r="J9" s="17" t="n">
        <v>67800</v>
      </c>
      <c r="K9" s="17" t="n">
        <v>0</v>
      </c>
      <c r="L9" s="17" t="n">
        <v>0</v>
      </c>
      <c r="M9" s="18">
        <f>J9-K9-L9</f>
        <v/>
      </c>
      <c r="N9" s="14" t="inlineStr">
        <is>
          <t>NEC</t>
        </is>
      </c>
      <c r="O9" s="14" t="inlineStr">
        <is>
          <t>Box 1</t>
        </is>
      </c>
      <c r="P9" s="15" t="inlineStr">
        <is>
          <t>NO</t>
        </is>
      </c>
      <c r="Q9" s="14" t="n"/>
      <c r="R9" s="19" t="inlineStr">
        <is>
          <t>NO</t>
        </is>
      </c>
      <c r="S9" s="14" t="inlineStr">
        <is>
          <t>NO</t>
        </is>
      </c>
      <c r="T9" s="17" t="n">
        <v>0</v>
      </c>
      <c r="U9" s="14" t="inlineStr">
        <is>
          <t>MISSING W-9 — requested 11/15, no response</t>
        </is>
      </c>
    </row>
    <row r="10">
      <c r="A10" s="10" t="inlineStr">
        <is>
          <t>James Whitfield</t>
        </is>
      </c>
      <c r="B10" s="10" t="inlineStr">
        <is>
          <t>Whitfield Excavation</t>
        </is>
      </c>
      <c r="C10" s="10" t="inlineStr">
        <is>
          <t>XXX-XX-5544</t>
        </is>
      </c>
      <c r="D10" s="10" t="inlineStr">
        <is>
          <t>SSN</t>
        </is>
      </c>
      <c r="E10" s="10" t="inlineStr">
        <is>
          <t>3200 Dirt Rd</t>
        </is>
      </c>
      <c r="F10" s="10" t="inlineStr">
        <is>
          <t>Plymouth</t>
        </is>
      </c>
      <c r="G10" s="10" t="inlineStr">
        <is>
          <t>MI</t>
        </is>
      </c>
      <c r="H10" s="11" t="inlineStr">
        <is>
          <t>48170</t>
        </is>
      </c>
      <c r="I10" s="10" t="inlineStr">
        <is>
          <t>Sole Prop</t>
        </is>
      </c>
      <c r="J10" s="12" t="n">
        <v>73500</v>
      </c>
      <c r="K10" s="12" t="n">
        <v>0</v>
      </c>
      <c r="L10" s="12" t="n">
        <v>15000</v>
      </c>
      <c r="M10" s="13">
        <f>J10-K10-L10</f>
        <v/>
      </c>
      <c r="N10" s="10" t="inlineStr">
        <is>
          <t>NEC</t>
        </is>
      </c>
      <c r="O10" s="10" t="inlineStr">
        <is>
          <t>Box 1</t>
        </is>
      </c>
      <c r="P10" s="10" t="inlineStr">
        <is>
          <t>YES</t>
        </is>
      </c>
      <c r="Q10" s="10" t="inlineStr">
        <is>
          <t>04/05/2025</t>
        </is>
      </c>
      <c r="R10" s="20" t="inlineStr">
        <is>
          <t>NO</t>
        </is>
      </c>
      <c r="S10" s="10" t="inlineStr">
        <is>
          <t>NO</t>
        </is>
      </c>
      <c r="T10" s="12" t="n">
        <v>0</v>
      </c>
      <c r="U10" s="10" t="inlineStr">
        <is>
          <t>Labor + materials — materials separated</t>
        </is>
      </c>
    </row>
    <row r="11">
      <c r="A11" s="6" t="inlineStr">
        <is>
          <t>Singh HVAC Services</t>
        </is>
      </c>
      <c r="B11" s="6" t="n"/>
      <c r="C11" s="6" t="inlineStr">
        <is>
          <t>XXX-XX-2233</t>
        </is>
      </c>
      <c r="D11" s="6" t="inlineStr">
        <is>
          <t>EIN</t>
        </is>
      </c>
      <c r="E11" s="6" t="inlineStr">
        <is>
          <t>4100 Cool Breeze Dr</t>
        </is>
      </c>
      <c r="F11" s="6" t="inlineStr">
        <is>
          <t>Sterling Heights</t>
        </is>
      </c>
      <c r="G11" s="6" t="inlineStr">
        <is>
          <t>MI</t>
        </is>
      </c>
      <c r="H11" s="7" t="inlineStr">
        <is>
          <t>48310</t>
        </is>
      </c>
      <c r="I11" s="6" t="inlineStr">
        <is>
          <t>Partnership</t>
        </is>
      </c>
      <c r="J11" s="8" t="n">
        <v>54300</v>
      </c>
      <c r="K11" s="8" t="n">
        <v>12000</v>
      </c>
      <c r="L11" s="8" t="n">
        <v>0</v>
      </c>
      <c r="M11" s="9">
        <f>J11-K11-L11</f>
        <v/>
      </c>
      <c r="N11" s="6" t="inlineStr">
        <is>
          <t>NEC</t>
        </is>
      </c>
      <c r="O11" s="6" t="inlineStr">
        <is>
          <t>Box 1</t>
        </is>
      </c>
      <c r="P11" s="6" t="inlineStr">
        <is>
          <t>YES</t>
        </is>
      </c>
      <c r="Q11" s="6" t="inlineStr">
        <is>
          <t>05/10/2025</t>
        </is>
      </c>
      <c r="R11" s="6" t="inlineStr">
        <is>
          <t>YES</t>
        </is>
      </c>
      <c r="S11" s="6" t="inlineStr">
        <is>
          <t>NO</t>
        </is>
      </c>
      <c r="T11" s="8" t="n">
        <v>0</v>
      </c>
      <c r="U11" s="6" t="inlineStr">
        <is>
          <t>Partial credit card payments excluded</t>
        </is>
      </c>
    </row>
    <row r="12">
      <c r="A12" s="10" t="inlineStr">
        <is>
          <t>Tony Ramirez</t>
        </is>
      </c>
      <c r="B12" s="10" t="inlineStr">
        <is>
          <t>Ramirez Painting</t>
        </is>
      </c>
      <c r="C12" s="10" t="inlineStr">
        <is>
          <t>XXX-XX-5567</t>
        </is>
      </c>
      <c r="D12" s="10" t="inlineStr">
        <is>
          <t>SSN</t>
        </is>
      </c>
      <c r="E12" s="10" t="inlineStr">
        <is>
          <t>221 Oak St</t>
        </is>
      </c>
      <c r="F12" s="10" t="inlineStr">
        <is>
          <t>Southfield</t>
        </is>
      </c>
      <c r="G12" s="10" t="inlineStr">
        <is>
          <t>MI</t>
        </is>
      </c>
      <c r="H12" s="11" t="inlineStr">
        <is>
          <t>48075</t>
        </is>
      </c>
      <c r="I12" s="10" t="inlineStr">
        <is>
          <t>Sole Prop</t>
        </is>
      </c>
      <c r="J12" s="12" t="n">
        <v>43200</v>
      </c>
      <c r="K12" s="12" t="n">
        <v>0</v>
      </c>
      <c r="L12" s="12" t="n">
        <v>8400</v>
      </c>
      <c r="M12" s="13">
        <f>J12-K12-L12</f>
        <v/>
      </c>
      <c r="N12" s="10" t="inlineStr">
        <is>
          <t>NEC</t>
        </is>
      </c>
      <c r="O12" s="10" t="inlineStr">
        <is>
          <t>Box 1</t>
        </is>
      </c>
      <c r="P12" s="10" t="inlineStr">
        <is>
          <t>YES</t>
        </is>
      </c>
      <c r="Q12" s="10" t="inlineStr">
        <is>
          <t>06/01/2025</t>
        </is>
      </c>
      <c r="R12" s="20" t="inlineStr">
        <is>
          <t>NO</t>
        </is>
      </c>
      <c r="S12" s="10" t="inlineStr">
        <is>
          <t>NO</t>
        </is>
      </c>
      <c r="T12" s="12" t="n">
        <v>0</v>
      </c>
      <c r="U12" s="10" t="inlineStr">
        <is>
          <t>Labor + materials — materials separated</t>
        </is>
      </c>
    </row>
    <row r="13">
      <c r="A13" s="21" t="inlineStr">
        <is>
          <t>TOTALS</t>
        </is>
      </c>
      <c r="B13" s="22">
        <f>COUNTA(A7:A12)</f>
        <v/>
      </c>
      <c r="C13" s="23" t="n"/>
      <c r="D13" s="23" t="n"/>
      <c r="E13" s="23" t="n"/>
      <c r="F13" s="23" t="n"/>
      <c r="G13" s="23" t="n"/>
      <c r="H13" s="23" t="n"/>
      <c r="I13" s="23" t="n"/>
      <c r="J13" s="24">
        <f>SUM(J7:J12)</f>
        <v/>
      </c>
      <c r="K13" s="24">
        <f>SUM(K7:K12)</f>
        <v/>
      </c>
      <c r="L13" s="24">
        <f>SUM(L7:L12)</f>
        <v/>
      </c>
      <c r="M13" s="24">
        <f>SUM(M7:M12)</f>
        <v/>
      </c>
      <c r="N13" s="23" t="n"/>
      <c r="O13" s="23" t="n"/>
      <c r="P13" s="23" t="n"/>
      <c r="Q13" s="23" t="n"/>
      <c r="R13" s="23" t="n"/>
      <c r="S13" s="23" t="n"/>
      <c r="T13" s="24">
        <f>SUM(T7:T12)</f>
        <v/>
      </c>
      <c r="U13" s="23" t="n"/>
    </row>
  </sheetData>
  <autoFilter ref="A6:U12"/>
  <mergeCells count="4">
    <mergeCell ref="A4:H4"/>
    <mergeCell ref="A3:H3"/>
    <mergeCell ref="A2:H2"/>
    <mergeCell ref="A1:H1"/>
  </mergeCells>
  <conditionalFormatting sqref="M7:M12">
    <cfRule type="cellIs" priority="1" operator="lessThan" dxfId="0">
      <formula>600</formula>
    </cfRule>
  </conditionalFormatting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11010"/>
    <outlinePr summaryBelow="1" summaryRight="1"/>
    <pageSetUpPr fitToPage="1"/>
  </sheetPr>
  <dimension ref="A1:V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0" customWidth="1" min="4" max="4"/>
    <col width="26" customWidth="1" min="5" max="5"/>
    <col width="14" customWidth="1" min="6" max="6"/>
    <col width="8" customWidth="1" min="7" max="7"/>
    <col width="10" customWidth="1" min="8" max="8"/>
    <col width="14" customWidth="1" min="9" max="9"/>
    <col width="16" customWidth="1" min="10" max="10"/>
    <col width="16" customWidth="1" min="11" max="11"/>
    <col width="16" customWidth="1" min="12" max="12"/>
    <col width="18" customWidth="1" min="13" max="13"/>
    <col width="10" customWidth="1" min="14" max="14"/>
    <col width="10" customWidth="1" min="15" max="15"/>
    <col width="10" customWidth="1" min="16" max="16"/>
    <col width="12" customWidth="1" min="17" max="17"/>
    <col width="10" customWidth="1" min="18" max="18"/>
    <col width="10" customWidth="1" min="19" max="19"/>
    <col width="14" customWidth="1" min="20" max="20"/>
    <col width="30" customWidth="1" min="21" max="21"/>
    <col width="16" customWidth="1" min="22" max="22"/>
  </cols>
  <sheetData>
    <row r="1">
      <c r="A1" s="1" t="inlineStr">
        <is>
          <t>Acme Construction LLC</t>
        </is>
      </c>
    </row>
    <row r="2">
      <c r="A2" s="2" t="inlineStr">
        <is>
          <t>1099-MISC List — Rents, Legal, Medical</t>
        </is>
      </c>
    </row>
    <row r="3">
      <c r="A3" s="3" t="inlineStr">
        <is>
          <t>Tax Year 2025 | Prepared January 15, 2026</t>
        </is>
      </c>
    </row>
    <row r="4">
      <c r="A4" s="3" t="inlineStr">
        <is>
          <t>Prepared by 1404 Labs | Threshold: $600</t>
        </is>
      </c>
    </row>
    <row r="5" ht="6" customHeight="1"/>
    <row r="6">
      <c r="A6" s="4" t="inlineStr">
        <is>
          <t>Vendor Name (Legal)</t>
        </is>
      </c>
      <c r="B6" s="4" t="inlineStr">
        <is>
          <t>DBA / Business Name</t>
        </is>
      </c>
      <c r="C6" s="4" t="inlineStr">
        <is>
          <t>TIN / EIN</t>
        </is>
      </c>
      <c r="D6" s="4" t="inlineStr">
        <is>
          <t>TIN Type</t>
        </is>
      </c>
      <c r="E6" s="4" t="inlineStr">
        <is>
          <t>Address</t>
        </is>
      </c>
      <c r="F6" s="4" t="inlineStr">
        <is>
          <t>City</t>
        </is>
      </c>
      <c r="G6" s="4" t="inlineStr">
        <is>
          <t>State</t>
        </is>
      </c>
      <c r="H6" s="4" t="inlineStr">
        <is>
          <t>ZIP</t>
        </is>
      </c>
      <c r="I6" s="4" t="inlineStr">
        <is>
          <t>Entity Type</t>
        </is>
      </c>
      <c r="J6" s="5" t="inlineStr">
        <is>
          <t>Total Payments</t>
        </is>
      </c>
      <c r="K6" s="5" t="inlineStr">
        <is>
          <t>Credit Card / 3rd Party</t>
        </is>
      </c>
      <c r="L6" s="5" t="inlineStr">
        <is>
          <t>Materials Only</t>
        </is>
      </c>
      <c r="M6" s="5" t="inlineStr">
        <is>
          <t>1099 Reportable Amount</t>
        </is>
      </c>
      <c r="N6" s="4" t="inlineStr">
        <is>
          <t>1099 Type</t>
        </is>
      </c>
      <c r="O6" s="4" t="inlineStr">
        <is>
          <t>1099 Box</t>
        </is>
      </c>
      <c r="P6" s="4" t="inlineStr">
        <is>
          <t>W-9 on File?</t>
        </is>
      </c>
      <c r="Q6" s="4" t="inlineStr">
        <is>
          <t>W-9 Date</t>
        </is>
      </c>
      <c r="R6" s="4" t="inlineStr">
        <is>
          <t>TIN Verified?</t>
        </is>
      </c>
      <c r="S6" s="4" t="inlineStr">
        <is>
          <t>Backup W/H?</t>
        </is>
      </c>
      <c r="T6" s="5" t="inlineStr">
        <is>
          <t>Backup W/H Amt</t>
        </is>
      </c>
      <c r="U6" s="4" t="inlineStr">
        <is>
          <t>Notes</t>
        </is>
      </c>
      <c r="V6" s="4" t="inlineStr">
        <is>
          <t>MISC Box Assignment</t>
        </is>
      </c>
    </row>
    <row r="7">
      <c r="A7" s="6" t="inlineStr">
        <is>
          <t>Lakeside Property Management</t>
        </is>
      </c>
      <c r="B7" s="6" t="n"/>
      <c r="C7" s="6" t="inlineStr">
        <is>
          <t>XXX-XX-4455</t>
        </is>
      </c>
      <c r="D7" s="6" t="inlineStr">
        <is>
          <t>EIN</t>
        </is>
      </c>
      <c r="E7" s="6" t="inlineStr">
        <is>
          <t>300 Lakeside Dr</t>
        </is>
      </c>
      <c r="F7" s="6" t="inlineStr">
        <is>
          <t>Ann Arbor</t>
        </is>
      </c>
      <c r="G7" s="6" t="inlineStr">
        <is>
          <t>MI</t>
        </is>
      </c>
      <c r="H7" s="7" t="inlineStr">
        <is>
          <t>48103</t>
        </is>
      </c>
      <c r="I7" s="6" t="inlineStr">
        <is>
          <t>LLC</t>
        </is>
      </c>
      <c r="J7" s="8" t="n">
        <v>36000</v>
      </c>
      <c r="K7" s="8" t="n">
        <v>0</v>
      </c>
      <c r="L7" s="8" t="n">
        <v>0</v>
      </c>
      <c r="M7" s="9">
        <f>J7-K7-L7</f>
        <v/>
      </c>
      <c r="N7" s="6" t="inlineStr">
        <is>
          <t>MISC</t>
        </is>
      </c>
      <c r="O7" s="6" t="inlineStr">
        <is>
          <t>Box 1</t>
        </is>
      </c>
      <c r="P7" s="6" t="inlineStr">
        <is>
          <t>YES</t>
        </is>
      </c>
      <c r="Q7" s="6" t="inlineStr">
        <is>
          <t>01/15/2025</t>
        </is>
      </c>
      <c r="R7" s="6" t="inlineStr">
        <is>
          <t>YES</t>
        </is>
      </c>
      <c r="S7" s="6" t="inlineStr">
        <is>
          <t>NO</t>
        </is>
      </c>
      <c r="T7" s="8" t="n">
        <v>0</v>
      </c>
      <c r="U7" s="6" t="inlineStr">
        <is>
          <t>Yard/office rent — 1099-MISC Box 1</t>
        </is>
      </c>
      <c r="V7" s="6" t="inlineStr">
        <is>
          <t>Box 1</t>
        </is>
      </c>
    </row>
    <row r="8">
      <c r="A8" s="10" t="inlineStr">
        <is>
          <t>Hendricks &amp; Associates PLLC</t>
        </is>
      </c>
      <c r="B8" s="10" t="n"/>
      <c r="C8" s="10" t="inlineStr">
        <is>
          <t>XXX-XX-7788</t>
        </is>
      </c>
      <c r="D8" s="10" t="inlineStr">
        <is>
          <t>EIN</t>
        </is>
      </c>
      <c r="E8" s="10" t="inlineStr">
        <is>
          <t>100 W Congress St Ste 800</t>
        </is>
      </c>
      <c r="F8" s="10" t="inlineStr">
        <is>
          <t>Detroit</t>
        </is>
      </c>
      <c r="G8" s="10" t="inlineStr">
        <is>
          <t>MI</t>
        </is>
      </c>
      <c r="H8" s="11" t="inlineStr">
        <is>
          <t>48226</t>
        </is>
      </c>
      <c r="I8" s="10" t="inlineStr">
        <is>
          <t>LLC</t>
        </is>
      </c>
      <c r="J8" s="12" t="n">
        <v>18500</v>
      </c>
      <c r="K8" s="12" t="n">
        <v>0</v>
      </c>
      <c r="L8" s="12" t="n">
        <v>0</v>
      </c>
      <c r="M8" s="13">
        <f>J8-K8-L8</f>
        <v/>
      </c>
      <c r="N8" s="10" t="inlineStr">
        <is>
          <t>MISC</t>
        </is>
      </c>
      <c r="O8" s="10" t="inlineStr">
        <is>
          <t>Box 10</t>
        </is>
      </c>
      <c r="P8" s="10" t="inlineStr">
        <is>
          <t>YES</t>
        </is>
      </c>
      <c r="Q8" s="10" t="inlineStr">
        <is>
          <t>01/05/2025</t>
        </is>
      </c>
      <c r="R8" s="10" t="inlineStr">
        <is>
          <t>YES</t>
        </is>
      </c>
      <c r="S8" s="10" t="inlineStr">
        <is>
          <t>NO</t>
        </is>
      </c>
      <c r="T8" s="12" t="n">
        <v>0</v>
      </c>
      <c r="U8" s="10" t="inlineStr">
        <is>
          <t>Attorney — report even if corporation (Box 10)</t>
        </is>
      </c>
      <c r="V8" s="10" t="inlineStr">
        <is>
          <t>Box 10</t>
        </is>
      </c>
    </row>
    <row r="9">
      <c r="A9" s="21" t="inlineStr">
        <is>
          <t>TOTALS</t>
        </is>
      </c>
      <c r="B9" s="22">
        <f>COUNTA(A7:A8)</f>
        <v/>
      </c>
      <c r="C9" s="23" t="n"/>
      <c r="D9" s="23" t="n"/>
      <c r="E9" s="23" t="n"/>
      <c r="F9" s="23" t="n"/>
      <c r="G9" s="23" t="n"/>
      <c r="H9" s="23" t="n"/>
      <c r="I9" s="23" t="n"/>
      <c r="J9" s="24">
        <f>SUM(J7:J8)</f>
        <v/>
      </c>
      <c r="K9" s="24">
        <f>SUM(K7:K8)</f>
        <v/>
      </c>
      <c r="L9" s="24">
        <f>SUM(L7:L8)</f>
        <v/>
      </c>
      <c r="M9" s="24">
        <f>SUM(M7:M8)</f>
        <v/>
      </c>
      <c r="N9" s="23" t="n"/>
      <c r="O9" s="23" t="n"/>
      <c r="P9" s="23" t="n"/>
      <c r="Q9" s="23" t="n"/>
      <c r="R9" s="23" t="n"/>
      <c r="S9" s="23" t="n"/>
      <c r="T9" s="24">
        <f>SUM(T7:T8)</f>
        <v/>
      </c>
      <c r="U9" s="23" t="n"/>
      <c r="V9" s="23" t="n"/>
    </row>
  </sheetData>
  <autoFilter ref="A6:V8"/>
  <mergeCells count="4">
    <mergeCell ref="A4:H4"/>
    <mergeCell ref="A3:H3"/>
    <mergeCell ref="A2:H2"/>
    <mergeCell ref="A1:H1"/>
  </mergeCells>
  <conditionalFormatting sqref="M7:M8">
    <cfRule type="cellIs" priority="1" operator="lessThan" dxfId="0">
      <formula>600</formula>
    </cfRule>
  </conditionalFormatting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DC2626"/>
    <outlinePr summaryBelow="1" summaryRight="1"/>
    <pageSetUpPr fitToPage="1"/>
  </sheetPr>
  <dimension ref="A1:G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30" customWidth="1" min="4" max="4"/>
    <col width="16" customWidth="1" min="5" max="5"/>
    <col width="14" customWidth="1" min="6" max="6"/>
    <col width="16" customWidth="1" min="7" max="7"/>
  </cols>
  <sheetData>
    <row r="1">
      <c r="A1" s="1" t="inlineStr">
        <is>
          <t>Acme Construction LLC</t>
        </is>
      </c>
    </row>
    <row r="2">
      <c r="A2" s="2" t="inlineStr">
        <is>
          <t>Missing W-9s — Tax Year 2025</t>
        </is>
      </c>
    </row>
    <row r="3">
      <c r="A3" s="25" t="inlineStr">
        <is>
          <t>ACTION REQUIRED: Collect W-9 or apply 24% backup withholding</t>
        </is>
      </c>
    </row>
    <row r="4" ht="6" customHeight="1"/>
    <row r="5">
      <c r="A5" s="4" t="inlineStr">
        <is>
          <t>Vendor Name</t>
        </is>
      </c>
      <c r="B5" s="5" t="inlineStr">
        <is>
          <t>Total Payments</t>
        </is>
      </c>
      <c r="C5" s="4" t="inlineStr">
        <is>
          <t>Last Payment Date</t>
        </is>
      </c>
      <c r="D5" s="4" t="inlineStr">
        <is>
          <t>Contact Info</t>
        </is>
      </c>
      <c r="E5" s="4" t="inlineStr">
        <is>
          <t>W-9 Request Sent</t>
        </is>
      </c>
      <c r="F5" s="4" t="inlineStr">
        <is>
          <t>Follow-up Needed?</t>
        </is>
      </c>
      <c r="G5" s="4" t="inlineStr">
        <is>
          <t>Backup W/H Required?</t>
        </is>
      </c>
    </row>
    <row r="6">
      <c r="A6" s="14" t="inlineStr">
        <is>
          <t>Rodriguez Framing</t>
        </is>
      </c>
      <c r="B6" s="17" t="n">
        <v>67800</v>
      </c>
      <c r="C6" s="14" t="inlineStr">
        <is>
          <t>12/10/2025</t>
        </is>
      </c>
      <c r="D6" s="14" t="inlineStr">
        <is>
          <t>rodriguez.framing@yahoo.com</t>
        </is>
      </c>
      <c r="E6" s="14" t="inlineStr">
        <is>
          <t>11/15/2025</t>
        </is>
      </c>
      <c r="F6" s="26" t="inlineStr">
        <is>
          <t>VERIFY</t>
        </is>
      </c>
      <c r="G6" s="27">
        <f>IF(B6&gt;=600,"YES","NO")</f>
        <v/>
      </c>
    </row>
  </sheetData>
  <mergeCells count="3">
    <mergeCell ref="A1:D1"/>
    <mergeCell ref="A3:D3"/>
    <mergeCell ref="A2:D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e5e7eb"/>
    <outlinePr summaryBelow="1" summaryRight="1"/>
    <pageSetUpPr fitToPage="1"/>
  </sheetPr>
  <dimension ref="A1:E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  <col width="16" customWidth="1" min="4" max="4"/>
    <col width="35" customWidth="1" min="5" max="5"/>
  </cols>
  <sheetData>
    <row r="1">
      <c r="A1" s="1" t="inlineStr">
        <is>
          <t>Acme Construction LLC</t>
        </is>
      </c>
    </row>
    <row r="2">
      <c r="A2" s="2" t="inlineStr">
        <is>
          <t>Excluded Vendors — Tax Year 2025</t>
        </is>
      </c>
    </row>
    <row r="3">
      <c r="A3" s="3" t="inlineStr">
        <is>
          <t>Vendors not requiring 1099 with documented exclusion reason</t>
        </is>
      </c>
    </row>
    <row r="4" ht="6" customHeight="1"/>
    <row r="5">
      <c r="A5" s="4" t="inlineStr">
        <is>
          <t>Vendor Name</t>
        </is>
      </c>
      <c r="B5" s="5" t="inlineStr">
        <is>
          <t>Total Payments</t>
        </is>
      </c>
      <c r="C5" s="4" t="inlineStr">
        <is>
          <t>Exclusion Reason</t>
        </is>
      </c>
      <c r="D5" s="4" t="inlineStr">
        <is>
          <t>Entity Type</t>
        </is>
      </c>
      <c r="E5" s="4" t="inlineStr">
        <is>
          <t>Supporting Documentation</t>
        </is>
      </c>
    </row>
    <row r="6">
      <c r="A6" s="6" t="inlineStr">
        <is>
          <t>Precision Electric Inc</t>
        </is>
      </c>
      <c r="B6" s="8" t="n">
        <v>142000</v>
      </c>
      <c r="C6" s="6" t="inlineStr">
        <is>
          <t>CORPORATION</t>
        </is>
      </c>
      <c r="D6" s="6" t="inlineStr">
        <is>
          <t>S-Corporation</t>
        </is>
      </c>
      <c r="E6" s="6" t="inlineStr">
        <is>
          <t>W-9 on file (rcvd 01/10/2025) — S-Corporation classification; S-Corp per W-9 — excluded</t>
        </is>
      </c>
    </row>
    <row r="7">
      <c r="A7" s="10" t="inlineStr">
        <is>
          <t>Great Lakes Concrete Supply</t>
        </is>
      </c>
      <c r="B7" s="12" t="n">
        <v>95600</v>
      </c>
      <c r="C7" s="10" t="inlineStr">
        <is>
          <t>MATERIALS_ONLY</t>
        </is>
      </c>
      <c r="D7" s="10" t="inlineStr">
        <is>
          <t>C-Corporation</t>
        </is>
      </c>
      <c r="E7" s="10" t="inlineStr">
        <is>
          <t>Materials only: $95,600.00 of $95,600.00 total; Materials only — concrete supply</t>
        </is>
      </c>
    </row>
    <row r="8">
      <c r="A8" s="6" t="inlineStr">
        <is>
          <t>ABC Plumbing Corp</t>
        </is>
      </c>
      <c r="B8" s="8" t="n">
        <v>88400</v>
      </c>
      <c r="C8" s="6" t="inlineStr">
        <is>
          <t>CORPORATION</t>
        </is>
      </c>
      <c r="D8" s="6" t="inlineStr">
        <is>
          <t>C-Corporation</t>
        </is>
      </c>
      <c r="E8" s="6" t="inlineStr">
        <is>
          <t>W-9 on file (rcvd 04/20/2025) — C-Corporation classification; C-Corp per W-9 — excluded</t>
        </is>
      </c>
    </row>
    <row r="9">
      <c r="A9" s="10" t="inlineStr">
        <is>
          <t>Dan Morrison</t>
        </is>
      </c>
      <c r="B9" s="12" t="n">
        <v>28900</v>
      </c>
      <c r="C9" s="10" t="inlineStr">
        <is>
          <t>CREDIT_CARD</t>
        </is>
      </c>
      <c r="D9" s="10" t="inlineStr">
        <is>
          <t>Individual</t>
        </is>
      </c>
      <c r="E9" s="10" t="inlineStr">
        <is>
          <t>All $28,900.00 via credit card/3rd party — 1099-K from processor; All payments via credit card — 1099-K from processor</t>
        </is>
      </c>
    </row>
    <row r="10">
      <c r="A10" s="6" t="inlineStr">
        <is>
          <t>Midwest Fasteners Inc</t>
        </is>
      </c>
      <c r="B10" s="8" t="n">
        <v>450</v>
      </c>
      <c r="C10" s="6" t="inlineStr">
        <is>
          <t>BELOW_THRESHOLD</t>
        </is>
      </c>
      <c r="D10" s="6" t="inlineStr">
        <is>
          <t>C-Corporation</t>
        </is>
      </c>
      <c r="E10" s="6" t="inlineStr">
        <is>
          <t>Total payments $450.00 &lt; $600 threshold; Below $600 threshold</t>
        </is>
      </c>
    </row>
    <row r="11">
      <c r="A11" s="21" t="inlineStr">
        <is>
          <t>TOTAL EXCLUDED</t>
        </is>
      </c>
      <c r="B11" s="24">
        <f>SUM(B6:B10)</f>
        <v/>
      </c>
      <c r="C11" s="23" t="n"/>
      <c r="D11" s="23" t="n"/>
      <c r="E11" s="23" t="n"/>
    </row>
  </sheetData>
  <mergeCells count="3">
    <mergeCell ref="A1:D1"/>
    <mergeCell ref="A3:D3"/>
    <mergeCell ref="A2:D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11010"/>
    <outlinePr summaryBelow="1" summaryRight="1"/>
    <pageSetUpPr fitToPage="1"/>
  </sheetPr>
  <dimension ref="A1:D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8" customWidth="1" min="3" max="3"/>
    <col width="30" customWidth="1" min="4" max="4"/>
  </cols>
  <sheetData>
    <row r="1">
      <c r="A1" s="1" t="inlineStr">
        <is>
          <t>Acme Construction LLC</t>
        </is>
      </c>
    </row>
    <row r="2">
      <c r="A2" s="2" t="inlineStr">
        <is>
          <t>1099 Reconciliation — Tax Year 2025</t>
        </is>
      </c>
    </row>
    <row r="3">
      <c r="A3" s="3" t="inlineStr">
        <is>
          <t>Reconcile 1099 totals + exclusions to GL expense accounts</t>
        </is>
      </c>
    </row>
    <row r="4" ht="6" customHeight="1"/>
    <row r="5">
      <c r="A5" s="4" t="inlineStr">
        <is>
          <t>Row</t>
        </is>
      </c>
      <c r="B5" s="4" t="inlineStr">
        <is>
          <t>Description</t>
        </is>
      </c>
      <c r="C5" s="5" t="inlineStr">
        <is>
          <t>Amount</t>
        </is>
      </c>
      <c r="D5" s="4" t="inlineStr">
        <is>
          <t>Source</t>
        </is>
      </c>
    </row>
    <row r="6">
      <c r="A6" s="28" t="n"/>
      <c r="B6" s="28" t="inlineStr">
        <is>
          <t>GL EXPENSE ACCOUNTS</t>
        </is>
      </c>
    </row>
    <row r="7">
      <c r="A7" s="6" t="inlineStr">
        <is>
          <t>1</t>
        </is>
      </c>
      <c r="B7" s="6" t="inlineStr">
        <is>
          <t>5100 — Subcontractor Expense</t>
        </is>
      </c>
      <c r="C7" s="8" t="n">
        <v>625000</v>
      </c>
      <c r="D7" s="6" t="inlineStr">
        <is>
          <t>QBO P&amp;L — GL Account</t>
        </is>
      </c>
    </row>
    <row r="8">
      <c r="A8" s="6" t="inlineStr">
        <is>
          <t>2</t>
        </is>
      </c>
      <c r="B8" s="6" t="inlineStr">
        <is>
          <t>6200 — Rent Expense</t>
        </is>
      </c>
      <c r="C8" s="8" t="n">
        <v>36000</v>
      </c>
      <c r="D8" s="6" t="inlineStr">
        <is>
          <t>QBO P&amp;L — GL Account</t>
        </is>
      </c>
    </row>
    <row r="9">
      <c r="A9" s="6" t="inlineStr">
        <is>
          <t>3</t>
        </is>
      </c>
      <c r="B9" s="6" t="inlineStr">
        <is>
          <t>6300 — Legal &amp; Professional Fees</t>
        </is>
      </c>
      <c r="C9" s="8" t="n">
        <v>22500</v>
      </c>
      <c r="D9" s="6" t="inlineStr">
        <is>
          <t>QBO P&amp;L — GL Account</t>
        </is>
      </c>
    </row>
    <row r="10">
      <c r="A10" s="6" t="inlineStr">
        <is>
          <t>4</t>
        </is>
      </c>
      <c r="B10" s="6" t="inlineStr">
        <is>
          <t>5200 — Materials &amp; Supplies</t>
        </is>
      </c>
      <c r="C10" s="8" t="n">
        <v>164650</v>
      </c>
      <c r="D10" s="6" t="inlineStr">
        <is>
          <t>QBO P&amp;L — GL Account</t>
        </is>
      </c>
    </row>
    <row r="11">
      <c r="A11" s="29" t="n"/>
      <c r="B11" s="30" t="inlineStr">
        <is>
          <t>Total GL Subcontractor/Service Expense</t>
        </is>
      </c>
      <c r="C11" s="31">
        <f>SUM(C7:C10)</f>
        <v/>
      </c>
      <c r="D11" s="32" t="inlineStr">
        <is>
          <t>Sum of GL accounts above</t>
        </is>
      </c>
    </row>
    <row r="13">
      <c r="B13" s="28" t="inlineStr">
        <is>
          <t>1099 AMOUNTS</t>
        </is>
      </c>
    </row>
    <row r="14">
      <c r="A14" s="33" t="n"/>
      <c r="B14" s="6" t="inlineStr">
        <is>
          <t>Total 1099-NEC Amounts (Tab 1)</t>
        </is>
      </c>
      <c r="C14" s="9">
        <f>'1099-NEC List'!M13</f>
        <v/>
      </c>
      <c r="D14" s="6" t="inlineStr">
        <is>
          <t>SUM of Tab 1 Column M (totals row)</t>
        </is>
      </c>
    </row>
    <row r="15">
      <c r="A15" s="33" t="n"/>
      <c r="B15" s="6" t="inlineStr">
        <is>
          <t>Total 1099-MISC Amounts (Tab 2)</t>
        </is>
      </c>
      <c r="C15" s="9">
        <f>'1099-MISC List'!M9</f>
        <v/>
      </c>
      <c r="D15" s="6" t="inlineStr">
        <is>
          <t>SUM of Tab 2 Column M (totals row)</t>
        </is>
      </c>
    </row>
    <row r="17">
      <c r="B17" s="28" t="inlineStr">
        <is>
          <t>EXCLUSIONS</t>
        </is>
      </c>
    </row>
    <row r="18">
      <c r="A18" s="33" t="n"/>
      <c r="B18" s="6" t="inlineStr">
        <is>
          <t>Excluded — Corporations</t>
        </is>
      </c>
      <c r="C18" s="9">
        <f>SUMIF('Excluded Vendors'!C6:C10,"CORPORATION",'Excluded Vendors'!B6:B10)</f>
        <v/>
      </c>
      <c r="D18" s="6" t="inlineStr">
        <is>
          <t>From Tab 4 (CORPORATION rows)</t>
        </is>
      </c>
    </row>
    <row r="19">
      <c r="A19" s="33" t="n"/>
      <c r="B19" s="6" t="inlineStr">
        <is>
          <t>Excluded — Below Threshold</t>
        </is>
      </c>
      <c r="C19" s="9">
        <f>SUMIF('Excluded Vendors'!C6:C10,"BELOW_THRESHOLD",'Excluded Vendors'!B6:B10)</f>
        <v/>
      </c>
      <c r="D19" s="6" t="inlineStr">
        <is>
          <t>From Tab 4 (BELOW_THRESHOLD rows)</t>
        </is>
      </c>
    </row>
    <row r="20">
      <c r="A20" s="33" t="n"/>
      <c r="B20" s="6" t="inlineStr">
        <is>
          <t>Excluded — Materials Only</t>
        </is>
      </c>
      <c r="C20" s="9">
        <f>SUMIF('Excluded Vendors'!C6:C10,"MATERIALS_ONLY",'Excluded Vendors'!B6:B10)</f>
        <v/>
      </c>
      <c r="D20" s="6" t="inlineStr">
        <is>
          <t>From Tab 4 (MATERIALS_ONLY rows)</t>
        </is>
      </c>
    </row>
    <row r="21">
      <c r="A21" s="33" t="n"/>
      <c r="B21" s="6" t="inlineStr">
        <is>
          <t>Excluded — Credit Card / 3rd Party</t>
        </is>
      </c>
      <c r="C21" s="9">
        <f>SUMIF('Excluded Vendors'!C6:C10,"CREDIT_CARD",'Excluded Vendors'!B6:B10)</f>
        <v/>
      </c>
      <c r="D21" s="6" t="inlineStr">
        <is>
          <t>From Tab 4 (CREDIT_CARD rows)</t>
        </is>
      </c>
    </row>
    <row r="22">
      <c r="A22" s="33" t="n"/>
      <c r="B22" s="6" t="inlineStr">
        <is>
          <t>Excluded — Employees (W-2)</t>
        </is>
      </c>
      <c r="C22" s="9">
        <f>SUMIF('Excluded Vendors'!C6:C10,"EMPLOYEE",'Excluded Vendors'!B6:B10)</f>
        <v/>
      </c>
      <c r="D22" s="6" t="inlineStr">
        <is>
          <t>From Tab 4 (EMPLOYEE rows)</t>
        </is>
      </c>
    </row>
    <row r="23">
      <c r="A23" s="33" t="n"/>
      <c r="B23" s="6" t="inlineStr">
        <is>
          <t>Excluded — Other (Tax-Exempt, Foreign)</t>
        </is>
      </c>
      <c r="C23" s="9">
        <f>SUMIF('Excluded Vendors'!C6:C10,"TAX_EXEMPT",'Excluded Vendors'!B6:B10)+SUMIF('Excluded Vendors'!C6:C10,"FOREIGN",'Excluded Vendors'!B6:B10)</f>
        <v/>
      </c>
      <c r="D23" s="6" t="inlineStr">
        <is>
          <t>From Tab 4 (remaining reasons)</t>
        </is>
      </c>
    </row>
    <row r="25">
      <c r="A25" s="29" t="n"/>
      <c r="B25" s="30" t="inlineStr">
        <is>
          <t>TOTAL ACCOUNTED FOR</t>
        </is>
      </c>
      <c r="C25" s="31">
        <f>C14+C15+C18+C19+C20+C21+C22+C23</f>
        <v/>
      </c>
      <c r="D25" s="32" t="inlineStr">
        <is>
          <t>1099 amounts + all exclusions</t>
        </is>
      </c>
    </row>
    <row r="26">
      <c r="A26" s="23" t="n"/>
      <c r="B26" s="22" t="inlineStr">
        <is>
          <t>VARIANCE</t>
        </is>
      </c>
      <c r="C26" s="34">
        <f>C11-C25</f>
        <v/>
      </c>
      <c r="D26" s="35" t="inlineStr">
        <is>
          <t>GL Total - Total Accounted For</t>
        </is>
      </c>
    </row>
    <row r="27">
      <c r="A27" s="33" t="n"/>
      <c r="B27" s="36" t="inlineStr">
        <is>
          <t>Variance Acceptable? (&lt; $100)</t>
        </is>
      </c>
      <c r="C27" s="37">
        <f>IF(ABS(C26)&lt;100,"YES","NO")</f>
        <v/>
      </c>
      <c r="D27" s="6" t="inlineStr">
        <is>
          <t>Must be within $100 to proceed with filing</t>
        </is>
      </c>
    </row>
  </sheetData>
  <mergeCells count="3">
    <mergeCell ref="A1:D1"/>
    <mergeCell ref="A3:D3"/>
    <mergeCell ref="A2:D2"/>
  </mergeCells>
  <conditionalFormatting sqref="C26">
    <cfRule type="expression" priority="1" dxfId="1">
      <formula>ABS(C26)&gt;=100</formula>
    </cfRule>
    <cfRule type="expression" priority="2" dxfId="2">
      <formula>ABS(C26)&gt;=1000</formula>
    </cfRule>
  </conditionalFormatting>
  <conditionalFormatting sqref="C27">
    <cfRule type="expression" priority="3" dxfId="3">
      <formula>C27="YES"</formula>
    </cfRule>
    <cfRule type="expression" priority="4" dxfId="1">
      <formula>C27="NO"</formula>
    </cfRule>
  </conditionalFormatting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1404 Labs</dc:creator>
  <dc:title xmlns:dc="http://purl.org/dc/elements/1.1/">1099 Package — Tax Year 2025</dc:title>
  <dcterms:created xmlns:dcterms="http://purl.org/dc/terms/" xmlns:xsi="http://www.w3.org/2001/XMLSchema-instance" xsi:type="dcterms:W3CDTF">2026-04-07T22:01:39Z</dcterms:created>
  <dcterms:modified xmlns:dcterms="http://purl.org/dc/terms/" xmlns:xsi="http://www.w3.org/2001/XMLSchema-instance" xsi:type="dcterms:W3CDTF">2026-04-07T22:01:39Z</dcterms:modified>
</cp:coreProperties>
</file>