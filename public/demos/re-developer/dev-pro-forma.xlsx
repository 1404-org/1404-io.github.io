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OpEx" sheetId="5" state="visible" r:id="rId5"/>
    <sheet xmlns:r="http://schemas.openxmlformats.org/officeDocument/2006/relationships" name="NOI &amp; Cash Flow" sheetId="6" state="visible" r:id="rId6"/>
    <sheet xmlns:r="http://schemas.openxmlformats.org/officeDocument/2006/relationships" name="Waterfall" sheetId="7" state="visible" r:id="rId7"/>
    <sheet xmlns:r="http://schemas.openxmlformats.org/officeDocument/2006/relationships" name="Sensitivity" sheetId="8" state="visible" r:id="rId8"/>
  </sheets>
  <definedNames>
    <definedName name="_xlnm.Print_Titles" localSheetId="1">'Assumptions'!$1:$1</definedName>
    <definedName name="_xlnm.Print_Titles" localSheetId="2">'Sources &amp; Uses'!$1:$1</definedName>
    <definedName name="_xlnm.Print_Titles" localSheetId="3">'Revenue'!$1:$1</definedName>
    <definedName name="_xlnm.Print_Titles" localSheetId="4">'OpEx'!$1:$1</definedName>
    <definedName name="_xlnm.Print_Titles" localSheetId="5">'NOI &amp; Cash Flow'!$1:$1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_($* #,##0_);_($* (#,##0);_($* &quot;-&quot;_)"/>
    <numFmt numFmtId="165" formatCode="0.0%"/>
    <numFmt numFmtId="166" formatCode="$#,##0"/>
    <numFmt numFmtId="167" formatCode="$#,##0.00"/>
    <numFmt numFmtId="168" formatCode="0.00&quot;x&quot;"/>
  </numFmts>
  <fonts count="11">
    <font>
      <name val="Calibri"/>
      <family val="2"/>
      <color theme="1"/>
      <sz val="11"/>
      <scheme val="minor"/>
    </font>
    <font>
      <name val="Inter"/>
      <b val="1"/>
      <color rgb="00FFFFFF"/>
      <sz val="9"/>
    </font>
    <font>
      <name val="Inter"/>
      <b val="1"/>
      <sz val="11"/>
    </font>
    <font>
      <name val="Inter"/>
      <sz val="10"/>
    </font>
    <font>
      <name val="Inter"/>
      <color rgb="000000FF"/>
      <sz val="10"/>
    </font>
    <font>
      <name val="Inter"/>
      <color rgb="009a948c"/>
      <sz val="9"/>
    </font>
    <font>
      <name val="Inter"/>
      <b val="1"/>
      <sz val="12"/>
    </font>
    <font>
      <name val="Inter"/>
      <color rgb="00000000"/>
      <sz val="10"/>
    </font>
    <font>
      <name val="Inter"/>
      <b val="1"/>
      <sz val="10"/>
    </font>
    <font>
      <name val="Inter"/>
      <b val="1"/>
      <color rgb="00059669"/>
      <sz val="10"/>
    </font>
    <font>
      <name val="Inter"/>
      <b val="1"/>
      <sz val="14"/>
    </font>
  </fonts>
  <fills count="5">
    <fill>
      <patternFill/>
    </fill>
    <fill>
      <patternFill patternType="gray125"/>
    </fill>
    <fill>
      <patternFill patternType="solid">
        <fgColor rgb="00111010"/>
      </patternFill>
    </fill>
    <fill>
      <patternFill patternType="solid">
        <fgColor rgb="00D9D9D9"/>
      </patternFill>
    </fill>
    <fill>
      <patternFill patternType="solid">
        <fgColor rgb="00DAEEF3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 wrapText="1"/>
    </xf>
    <xf numFmtId="3" fontId="7" fillId="0" borderId="0" applyAlignment="1" pivotButton="0" quotePrefix="0" xfId="0">
      <alignment horizontal="right" vertical="center" wrapText="1"/>
    </xf>
    <xf numFmtId="164" fontId="7" fillId="0" borderId="0" applyAlignment="1" pivotButton="0" quotePrefix="0" xfId="0">
      <alignment horizontal="right" vertical="center" wrapText="1"/>
    </xf>
    <xf numFmtId="10" fontId="9" fillId="0" borderId="0" applyAlignment="1" pivotButton="0" quotePrefix="0" xfId="0">
      <alignment horizontal="right" vertical="center" wrapText="1"/>
    </xf>
    <xf numFmtId="165" fontId="9" fillId="0" borderId="0" applyAlignment="1" pivotButton="0" quotePrefix="0" xfId="0">
      <alignment horizontal="right" vertical="center" wrapText="1"/>
    </xf>
    <xf numFmtId="168" fontId="9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center" wrapText="1"/>
    </xf>
    <xf numFmtId="1" fontId="4" fillId="4" borderId="0" applyAlignment="1" pivotButton="0" quotePrefix="0" xfId="0">
      <alignment horizontal="right" vertical="center" wrapText="1"/>
    </xf>
    <xf numFmtId="3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165" fontId="4" fillId="4" borderId="0" applyAlignment="1" pivotButton="0" quotePrefix="0" xfId="0">
      <alignment horizontal="right" vertical="center" wrapText="1"/>
    </xf>
    <xf numFmtId="166" fontId="4" fillId="4" borderId="0" applyAlignment="1" pivotButton="0" quotePrefix="0" xfId="0">
      <alignment horizontal="right" vertical="center" wrapText="1"/>
    </xf>
    <xf numFmtId="10" fontId="4" fillId="4" borderId="0" applyAlignment="1" pivotButton="0" quotePrefix="0" xfId="0">
      <alignment horizontal="right" vertical="center" wrapText="1"/>
    </xf>
    <xf numFmtId="166" fontId="7" fillId="0" borderId="0" applyAlignment="1" pivotButton="0" quotePrefix="0" xfId="0">
      <alignment horizontal="right" vertical="center" wrapText="1"/>
    </xf>
    <xf numFmtId="165" fontId="7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right" vertical="center" wrapText="1"/>
    </xf>
    <xf numFmtId="166" fontId="7" fillId="0" borderId="1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left" vertical="center" wrapText="1"/>
    </xf>
    <xf numFmtId="164" fontId="8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167" fontId="4" fillId="4" borderId="0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165" fontId="5" fillId="0" borderId="0" applyAlignment="1" pivotButton="0" quotePrefix="0" xfId="0">
      <alignment horizontal="right" vertical="center" wrapText="1"/>
    </xf>
    <xf numFmtId="0" fontId="9" fillId="0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right" vertical="center" wrapText="1"/>
    </xf>
    <xf numFmtId="10" fontId="7" fillId="0" borderId="0" applyAlignment="1" pivotButton="0" quotePrefix="0" xfId="0">
      <alignment horizontal="right" vertical="center" wrapText="1"/>
    </xf>
    <xf numFmtId="168" fontId="7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956b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The Reserve at Royal Oak</t>
        </is>
      </c>
    </row>
    <row r="2">
      <c r="A2" s="2" t="inlineStr">
        <is>
          <t>Development Pro Forma</t>
        </is>
      </c>
    </row>
    <row r="3">
      <c r="A3" s="3" t="inlineStr">
        <is>
          <t>1200 N Main St, Royal Oak, MI 48067</t>
        </is>
      </c>
    </row>
    <row r="4">
      <c r="A4" s="3" t="inlineStr">
        <is>
          <t>Prepared by 1404 Labs — 2026-04-03</t>
        </is>
      </c>
    </row>
    <row r="6">
      <c r="A6" s="4" t="inlineStr">
        <is>
          <t>PROJECT SNAPSHOT</t>
        </is>
      </c>
      <c r="B6" s="5" t="n"/>
      <c r="C6" s="5" t="n"/>
      <c r="D6" s="5" t="n"/>
      <c r="E6" s="5" t="n"/>
    </row>
    <row r="7">
      <c r="A7" s="6" t="inlineStr">
        <is>
          <t>Property Type</t>
        </is>
      </c>
      <c r="B7" s="7" t="inlineStr">
        <is>
          <t>Multifamily</t>
        </is>
      </c>
    </row>
    <row r="8">
      <c r="A8" s="6" t="inlineStr">
        <is>
          <t>Total Units</t>
        </is>
      </c>
      <c r="B8" s="8" t="n">
        <v>200</v>
      </c>
    </row>
    <row r="9">
      <c r="A9" s="6" t="inlineStr">
        <is>
          <t>Net Rentable SF</t>
        </is>
      </c>
      <c r="B9" s="8" t="n">
        <v>178000</v>
      </c>
    </row>
    <row r="10">
      <c r="A10" s="6" t="inlineStr">
        <is>
          <t>Lot Size (Acres)</t>
        </is>
      </c>
      <c r="B10" s="8" t="n">
        <v>4.2</v>
      </c>
    </row>
    <row r="11">
      <c r="A11" s="6" t="inlineStr">
        <is>
          <t>Construction Duration</t>
        </is>
      </c>
      <c r="B11" s="7" t="inlineStr">
        <is>
          <t>20 months</t>
        </is>
      </c>
    </row>
    <row r="12" ht="6" customHeight="1"/>
    <row r="13">
      <c r="A13" s="4" t="inlineStr">
        <is>
          <t>SOURCES &amp; USES SUMMARY</t>
        </is>
      </c>
      <c r="B13" s="5" t="n"/>
      <c r="C13" s="5" t="n"/>
      <c r="D13" s="5" t="n"/>
      <c r="E13" s="5" t="n"/>
    </row>
    <row r="14">
      <c r="A14" s="6" t="inlineStr">
        <is>
          <t>Total Development Cost</t>
        </is>
      </c>
      <c r="B14" s="9">
        <f>'Sources &amp; Uses'!B30</f>
        <v/>
      </c>
    </row>
    <row r="15">
      <c r="A15" s="6" t="inlineStr">
        <is>
          <t xml:space="preserve">  Land</t>
        </is>
      </c>
      <c r="B15" s="9">
        <f>'Sources &amp; Uses'!B4</f>
        <v/>
      </c>
    </row>
    <row r="16">
      <c r="A16" s="6" t="inlineStr">
        <is>
          <t xml:space="preserve">  Hard Costs</t>
        </is>
      </c>
      <c r="B16" s="9">
        <f>'Sources &amp; Uses'!B10</f>
        <v/>
      </c>
    </row>
    <row r="17">
      <c r="A17" s="6" t="inlineStr">
        <is>
          <t xml:space="preserve">  Soft Costs</t>
        </is>
      </c>
      <c r="B17" s="9">
        <f>'Sources &amp; Uses'!B21</f>
        <v/>
      </c>
    </row>
    <row r="18">
      <c r="A18" s="6" t="inlineStr">
        <is>
          <t xml:space="preserve">  Financing</t>
        </is>
      </c>
      <c r="B18" s="9">
        <f>'Sources &amp; Uses'!B26</f>
        <v/>
      </c>
    </row>
    <row r="19">
      <c r="A19" s="6" t="inlineStr">
        <is>
          <t xml:space="preserve">  Developer Fee</t>
        </is>
      </c>
      <c r="B19" s="9">
        <f>'Sources &amp; Uses'!B28</f>
        <v/>
      </c>
    </row>
    <row r="21">
      <c r="A21" s="6" t="inlineStr">
        <is>
          <t>GP Equity</t>
        </is>
      </c>
      <c r="B21" s="9">
        <f>'Sources &amp; Uses'!B35</f>
        <v/>
      </c>
    </row>
    <row r="22">
      <c r="A22" s="6" t="inlineStr">
        <is>
          <t>LP Equity</t>
        </is>
      </c>
      <c r="B22" s="9">
        <f>'Sources &amp; Uses'!B36</f>
        <v/>
      </c>
    </row>
    <row r="23">
      <c r="A23" s="6" t="inlineStr">
        <is>
          <t>Senior Debt</t>
        </is>
      </c>
      <c r="B23" s="9">
        <f>'Sources &amp; Uses'!B37</f>
        <v/>
      </c>
    </row>
    <row r="24" ht="6" customHeight="1"/>
    <row r="25">
      <c r="A25" s="4" t="inlineStr">
        <is>
          <t>KEY RETURN METRICS</t>
        </is>
      </c>
      <c r="B25" s="5" t="n"/>
      <c r="C25" s="5" t="n"/>
      <c r="D25" s="5" t="n"/>
      <c r="E25" s="5" t="n"/>
    </row>
    <row r="26">
      <c r="A26" s="6" t="inlineStr">
        <is>
          <t>Yield on Cost (Year 1)</t>
        </is>
      </c>
      <c r="B26" s="10">
        <f>'NOI &amp; Cash Flow'!B11</f>
        <v/>
      </c>
    </row>
    <row r="27">
      <c r="A27" s="6" t="inlineStr">
        <is>
          <t>Development Spread</t>
        </is>
      </c>
      <c r="B27" s="10">
        <f>'Waterfall'!B17</f>
        <v/>
      </c>
    </row>
    <row r="28">
      <c r="A28" s="6" t="inlineStr">
        <is>
          <t>Unlevered IRR</t>
        </is>
      </c>
      <c r="B28" s="11">
        <f>'Waterfall'!B14</f>
        <v/>
      </c>
    </row>
    <row r="29">
      <c r="A29" s="6" t="inlineStr">
        <is>
          <t>LP IRR</t>
        </is>
      </c>
      <c r="B29" s="11">
        <f>'Waterfall'!B15</f>
        <v/>
      </c>
    </row>
    <row r="30">
      <c r="A30" s="6" t="inlineStr">
        <is>
          <t>LP Equity Multiple</t>
        </is>
      </c>
      <c r="B30" s="12">
        <f>'Waterfall'!B16</f>
        <v/>
      </c>
    </row>
    <row r="31">
      <c r="A31" s="6" t="inlineStr">
        <is>
          <t>Cash-on-Cash (Year 1)</t>
        </is>
      </c>
      <c r="B31" s="11">
        <f>'NOI &amp; Cash Flow'!B13</f>
        <v/>
      </c>
    </row>
    <row r="32">
      <c r="A32" s="6" t="inlineStr">
        <is>
          <t>DSCR (Year 1)</t>
        </is>
      </c>
      <c r="B32" s="12">
        <f>'NOI &amp; Cash Flow'!B12</f>
        <v/>
      </c>
    </row>
    <row r="33">
      <c r="A33" s="6" t="inlineStr">
        <is>
          <t>Cost per Unit</t>
        </is>
      </c>
      <c r="B33" s="13">
        <f>'Sources &amp; Uses'!B30/200</f>
        <v/>
      </c>
    </row>
    <row r="34">
      <c r="A34" s="6" t="inlineStr">
        <is>
          <t>Cost per SF</t>
        </is>
      </c>
      <c r="B34" s="13">
        <f>'Sources &amp; Uses'!B30/178000</f>
        <v/>
      </c>
    </row>
  </sheetData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111010"/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35" customWidth="1" min="4" max="4"/>
  </cols>
  <sheetData>
    <row r="1">
      <c r="A1" s="14" t="inlineStr">
        <is>
          <t>Parameter</t>
        </is>
      </c>
      <c r="B1" s="14" t="inlineStr">
        <is>
          <t>Value</t>
        </is>
      </c>
      <c r="C1" s="14" t="inlineStr">
        <is>
          <t>Unit</t>
        </is>
      </c>
      <c r="D1" s="14" t="inlineStr">
        <is>
          <t>Source / Notes</t>
        </is>
      </c>
    </row>
    <row r="2">
      <c r="A2" s="4" t="inlineStr">
        <is>
          <t>PROJECT IDENTIFICATION</t>
        </is>
      </c>
      <c r="B2" s="5" t="n"/>
      <c r="C2" s="5" t="n"/>
      <c r="D2" s="5" t="n"/>
    </row>
    <row r="3">
      <c r="A3" s="6" t="inlineStr">
        <is>
          <t>Project Name</t>
        </is>
      </c>
      <c r="B3" s="15" t="inlineStr">
        <is>
          <t>The Reserve at Royal Oak</t>
        </is>
      </c>
      <c r="C3" s="3" t="inlineStr"/>
      <c r="D3" s="3" t="inlineStr"/>
    </row>
    <row r="4">
      <c r="A4" s="6" t="inlineStr">
        <is>
          <t>Property Address</t>
        </is>
      </c>
      <c r="B4" s="15" t="inlineStr">
        <is>
          <t>1200 N Main St, Royal Oak, MI 48067</t>
        </is>
      </c>
      <c r="C4" s="3" t="inlineStr"/>
      <c r="D4" s="3" t="inlineStr"/>
    </row>
    <row r="5">
      <c r="A5" s="6" t="inlineStr">
        <is>
          <t>Property Type</t>
        </is>
      </c>
      <c r="B5" s="15" t="inlineStr">
        <is>
          <t>multifamily</t>
        </is>
      </c>
      <c r="C5" s="3" t="inlineStr"/>
      <c r="D5" s="3" t="inlineStr"/>
    </row>
    <row r="6">
      <c r="A6" s="6" t="inlineStr">
        <is>
          <t>Total Units</t>
        </is>
      </c>
      <c r="B6" s="16" t="n">
        <v>200</v>
      </c>
      <c r="C6" s="3" t="inlineStr">
        <is>
          <t>units</t>
        </is>
      </c>
      <c r="D6" s="3" t="inlineStr"/>
    </row>
    <row r="7">
      <c r="A7" s="6" t="inlineStr">
        <is>
          <t>Net Rentable SF</t>
        </is>
      </c>
      <c r="B7" s="17" t="n">
        <v>178000</v>
      </c>
      <c r="C7" s="3" t="inlineStr">
        <is>
          <t>SF</t>
        </is>
      </c>
      <c r="D7" s="3" t="inlineStr"/>
    </row>
    <row r="8">
      <c r="A8" s="6" t="inlineStr">
        <is>
          <t>Gross Buildable SF</t>
        </is>
      </c>
      <c r="B8" s="17" t="n">
        <v>209411.7647058823</v>
      </c>
      <c r="C8" s="3" t="inlineStr">
        <is>
          <t>SF</t>
        </is>
      </c>
      <c r="D8" s="3" t="inlineStr"/>
    </row>
    <row r="9">
      <c r="A9" s="6" t="inlineStr">
        <is>
          <t>Lot Size</t>
        </is>
      </c>
      <c r="B9" s="18" t="n">
        <v>4.2</v>
      </c>
      <c r="C9" s="3" t="inlineStr">
        <is>
          <t>acres</t>
        </is>
      </c>
      <c r="D9" s="3" t="inlineStr"/>
    </row>
    <row r="10" ht="6" customHeight="1"/>
    <row r="11">
      <c r="A11" s="4" t="inlineStr">
        <is>
          <t>TIMELINE</t>
        </is>
      </c>
      <c r="B11" s="5" t="n"/>
      <c r="C11" s="5" t="n"/>
      <c r="D11" s="5" t="n"/>
    </row>
    <row r="12">
      <c r="A12" s="6" t="inlineStr">
        <is>
          <t>Construction Start</t>
        </is>
      </c>
      <c r="B12" s="15" t="inlineStr">
        <is>
          <t>2026-09-01</t>
        </is>
      </c>
      <c r="C12" s="3" t="inlineStr"/>
      <c r="D12" s="3" t="inlineStr"/>
    </row>
    <row r="13">
      <c r="A13" s="6" t="inlineStr">
        <is>
          <t>Construction Duration</t>
        </is>
      </c>
      <c r="B13" s="16" t="n">
        <v>20</v>
      </c>
      <c r="C13" s="3" t="inlineStr">
        <is>
          <t>months</t>
        </is>
      </c>
      <c r="D13" s="3" t="inlineStr"/>
    </row>
    <row r="14">
      <c r="A14" s="6" t="inlineStr">
        <is>
          <t>Lease-Up Duration</t>
        </is>
      </c>
      <c r="B14" s="16" t="n">
        <v>12</v>
      </c>
      <c r="C14" s="3" t="inlineStr">
        <is>
          <t>months</t>
        </is>
      </c>
      <c r="D14" s="3" t="inlineStr"/>
    </row>
    <row r="15">
      <c r="A15" s="6" t="inlineStr">
        <is>
          <t>Hold Period</t>
        </is>
      </c>
      <c r="B15" s="16" t="n">
        <v>5</v>
      </c>
      <c r="C15" s="3" t="inlineStr">
        <is>
          <t>years</t>
        </is>
      </c>
      <c r="D15" s="3" t="inlineStr"/>
    </row>
    <row r="16" ht="6" customHeight="1"/>
    <row r="17">
      <c r="A17" s="4" t="inlineStr">
        <is>
          <t>REVENUE ASSUMPTIONS</t>
        </is>
      </c>
      <c r="B17" s="5" t="n"/>
      <c r="C17" s="5" t="n"/>
      <c r="D17" s="5" t="n"/>
    </row>
    <row r="18">
      <c r="A18" s="6" t="inlineStr">
        <is>
          <t>Annual Rent Growth</t>
        </is>
      </c>
      <c r="B18" s="19" t="n">
        <v>0.03</v>
      </c>
      <c r="C18" s="3" t="inlineStr"/>
      <c r="D18" s="3" t="inlineStr"/>
    </row>
    <row r="19">
      <c r="A19" s="6" t="inlineStr">
        <is>
          <t>Vacancy Rate</t>
        </is>
      </c>
      <c r="B19" s="19" t="n">
        <v>0.05</v>
      </c>
      <c r="C19" s="3" t="inlineStr"/>
      <c r="D19" s="3" t="inlineStr"/>
    </row>
    <row r="20">
      <c r="A20" s="6" t="inlineStr">
        <is>
          <t>Loss to Lease</t>
        </is>
      </c>
      <c r="B20" s="19" t="n">
        <v>0.02</v>
      </c>
      <c r="C20" s="3" t="inlineStr"/>
      <c r="D20" s="3" t="inlineStr"/>
    </row>
    <row r="21">
      <c r="A21" s="6" t="inlineStr">
        <is>
          <t>Concession Months</t>
        </is>
      </c>
      <c r="B21" s="18" t="n">
        <v>1</v>
      </c>
      <c r="C21" s="3" t="inlineStr">
        <is>
          <t>months</t>
        </is>
      </c>
      <c r="D21" s="3" t="inlineStr"/>
    </row>
    <row r="22">
      <c r="A22" s="6" t="inlineStr">
        <is>
          <t>Bad Debt</t>
        </is>
      </c>
      <c r="B22" s="19" t="n">
        <v>0.01</v>
      </c>
      <c r="C22" s="3" t="inlineStr"/>
      <c r="D22" s="3" t="inlineStr"/>
    </row>
    <row r="23">
      <c r="A23" s="6" t="inlineStr">
        <is>
          <t>Other Income/Unit/Mo</t>
        </is>
      </c>
      <c r="B23" s="20" t="n">
        <v>125</v>
      </c>
      <c r="C23" s="3" t="inlineStr">
        <is>
          <t>$/unit/mo</t>
        </is>
      </c>
      <c r="D23" s="3" t="inlineStr"/>
    </row>
    <row r="24" ht="6" customHeight="1"/>
    <row r="25">
      <c r="A25" s="4" t="inlineStr">
        <is>
          <t>OPERATING EXPENSE ASSUMPTIONS</t>
        </is>
      </c>
      <c r="B25" s="5" t="n"/>
      <c r="C25" s="5" t="n"/>
      <c r="D25" s="5" t="n"/>
    </row>
    <row r="26">
      <c r="A26" s="6" t="inlineStr">
        <is>
          <t>Management Fee</t>
        </is>
      </c>
      <c r="B26" s="19" t="n">
        <v>0.03</v>
      </c>
      <c r="C26" s="3" t="inlineStr">
        <is>
          <t>% of EGI</t>
        </is>
      </c>
      <c r="D26" s="3" t="inlineStr"/>
    </row>
    <row r="27">
      <c r="A27" s="6" t="inlineStr">
        <is>
          <t>Payroll &amp; Benefits</t>
        </is>
      </c>
      <c r="B27" s="20" t="n">
        <v>1100</v>
      </c>
      <c r="C27" s="3" t="inlineStr">
        <is>
          <t>$/unit/yr</t>
        </is>
      </c>
      <c r="D27" s="3" t="inlineStr"/>
    </row>
    <row r="28">
      <c r="A28" s="6" t="inlineStr">
        <is>
          <t>Repairs &amp; Maintenance</t>
        </is>
      </c>
      <c r="B28" s="20" t="n">
        <v>600</v>
      </c>
      <c r="C28" s="3" t="inlineStr">
        <is>
          <t>$/unit/yr</t>
        </is>
      </c>
      <c r="D28" s="3" t="inlineStr"/>
    </row>
    <row r="29">
      <c r="A29" s="6" t="inlineStr">
        <is>
          <t>Turnover Costs</t>
        </is>
      </c>
      <c r="B29" s="20" t="n">
        <v>350</v>
      </c>
      <c r="C29" s="3" t="inlineStr">
        <is>
          <t>$/unit/yr</t>
        </is>
      </c>
      <c r="D29" s="3" t="inlineStr"/>
    </row>
    <row r="30">
      <c r="A30" s="6" t="inlineStr">
        <is>
          <t>Contract Services</t>
        </is>
      </c>
      <c r="B30" s="20" t="n">
        <v>250</v>
      </c>
      <c r="C30" s="3" t="inlineStr">
        <is>
          <t>$/unit/yr</t>
        </is>
      </c>
      <c r="D30" s="3" t="inlineStr"/>
    </row>
    <row r="31">
      <c r="A31" s="6" t="inlineStr">
        <is>
          <t>Water/Sewer</t>
        </is>
      </c>
      <c r="B31" s="20" t="n">
        <v>425</v>
      </c>
      <c r="C31" s="3" t="inlineStr">
        <is>
          <t>$/unit/yr</t>
        </is>
      </c>
      <c r="D31" s="3" t="inlineStr"/>
    </row>
    <row r="32">
      <c r="A32" s="6" t="inlineStr">
        <is>
          <t>Electric</t>
        </is>
      </c>
      <c r="B32" s="20" t="n">
        <v>240</v>
      </c>
      <c r="C32" s="3" t="inlineStr">
        <is>
          <t>$/unit/yr</t>
        </is>
      </c>
      <c r="D32" s="3" t="inlineStr"/>
    </row>
    <row r="33">
      <c r="A33" s="6" t="inlineStr">
        <is>
          <t>Gas</t>
        </is>
      </c>
      <c r="B33" s="20" t="n">
        <v>175</v>
      </c>
      <c r="C33" s="3" t="inlineStr">
        <is>
          <t>$/unit/yr</t>
        </is>
      </c>
      <c r="D33" s="3" t="inlineStr"/>
    </row>
    <row r="34">
      <c r="A34" s="6" t="inlineStr">
        <is>
          <t>Trash</t>
        </is>
      </c>
      <c r="B34" s="20" t="n">
        <v>200</v>
      </c>
      <c r="C34" s="3" t="inlineStr">
        <is>
          <t>$/unit/yr</t>
        </is>
      </c>
      <c r="D34" s="3" t="inlineStr"/>
    </row>
    <row r="35">
      <c r="A35" s="6" t="inlineStr">
        <is>
          <t>Insurance</t>
        </is>
      </c>
      <c r="B35" s="20" t="n">
        <v>525</v>
      </c>
      <c r="C35" s="3" t="inlineStr">
        <is>
          <t>$/unit/yr</t>
        </is>
      </c>
      <c r="D35" s="3" t="inlineStr"/>
    </row>
    <row r="36">
      <c r="A36" s="6" t="inlineStr">
        <is>
          <t>Real Estate Taxes</t>
        </is>
      </c>
      <c r="B36" s="20" t="n">
        <v>2200</v>
      </c>
      <c r="C36" s="3" t="inlineStr">
        <is>
          <t>$/unit/yr</t>
        </is>
      </c>
      <c r="D36" s="3" t="inlineStr"/>
    </row>
    <row r="37">
      <c r="A37" s="6" t="inlineStr">
        <is>
          <t>Admin/G&amp;A</t>
        </is>
      </c>
      <c r="B37" s="20" t="n">
        <v>240</v>
      </c>
      <c r="C37" s="3" t="inlineStr">
        <is>
          <t>$/unit/yr</t>
        </is>
      </c>
      <c r="D37" s="3" t="inlineStr"/>
    </row>
    <row r="38">
      <c r="A38" s="6" t="inlineStr">
        <is>
          <t>Marketing</t>
        </is>
      </c>
      <c r="B38" s="20" t="n">
        <v>150</v>
      </c>
      <c r="C38" s="3" t="inlineStr">
        <is>
          <t>$/unit/yr</t>
        </is>
      </c>
      <c r="D38" s="3" t="inlineStr"/>
    </row>
    <row r="39">
      <c r="A39" s="6" t="inlineStr">
        <is>
          <t>Replacement Reserves</t>
        </is>
      </c>
      <c r="B39" s="20" t="n">
        <v>250</v>
      </c>
      <c r="C39" s="3" t="inlineStr">
        <is>
          <t>$/unit/yr</t>
        </is>
      </c>
      <c r="D39" s="3" t="inlineStr"/>
    </row>
    <row r="40">
      <c r="A40" s="6" t="inlineStr">
        <is>
          <t>General Expense Growth</t>
        </is>
      </c>
      <c r="B40" s="19" t="n">
        <v>0.03</v>
      </c>
      <c r="C40" s="3" t="inlineStr"/>
      <c r="D40" s="3" t="inlineStr"/>
    </row>
    <row r="41">
      <c r="A41" s="6" t="inlineStr">
        <is>
          <t>Insurance Growth</t>
        </is>
      </c>
      <c r="B41" s="19" t="n">
        <v>0.07000000000000001</v>
      </c>
      <c r="C41" s="3" t="inlineStr"/>
      <c r="D41" s="3" t="inlineStr"/>
    </row>
    <row r="42">
      <c r="A42" s="6" t="inlineStr">
        <is>
          <t>Tax Growth</t>
        </is>
      </c>
      <c r="B42" s="19" t="n">
        <v>0.03</v>
      </c>
      <c r="C42" s="3" t="inlineStr"/>
      <c r="D42" s="3" t="inlineStr"/>
    </row>
    <row r="43" ht="6" customHeight="1"/>
    <row r="44">
      <c r="A44" s="4" t="inlineStr">
        <is>
          <t>FINANCING ASSUMPTIONS</t>
        </is>
      </c>
      <c r="B44" s="5" t="n"/>
      <c r="C44" s="5" t="n"/>
      <c r="D44" s="5" t="n"/>
    </row>
    <row r="45">
      <c r="A45" s="6" t="inlineStr">
        <is>
          <t>Construction Loan LTC</t>
        </is>
      </c>
      <c r="B45" s="19" t="n">
        <v>0.65</v>
      </c>
      <c r="C45" s="3" t="inlineStr"/>
      <c r="D45" s="3" t="inlineStr"/>
    </row>
    <row r="46">
      <c r="A46" s="6" t="inlineStr">
        <is>
          <t>Construction Loan Rate</t>
        </is>
      </c>
      <c r="B46" s="21" t="n">
        <v>0.0725</v>
      </c>
      <c r="C46" s="3" t="inlineStr"/>
      <c r="D46" s="3" t="inlineStr"/>
    </row>
    <row r="47">
      <c r="A47" s="6" t="inlineStr">
        <is>
          <t>Construction Loan Term</t>
        </is>
      </c>
      <c r="B47" s="16" t="n">
        <v>30</v>
      </c>
      <c r="C47" s="3" t="inlineStr">
        <is>
          <t>months</t>
        </is>
      </c>
      <c r="D47" s="3" t="inlineStr"/>
    </row>
    <row r="48">
      <c r="A48" s="6" t="inlineStr">
        <is>
          <t>Origination Fee</t>
        </is>
      </c>
      <c r="B48" s="19" t="n">
        <v>0.01</v>
      </c>
      <c r="C48" s="3" t="inlineStr"/>
      <c r="D48" s="3" t="inlineStr"/>
    </row>
    <row r="49">
      <c r="A49" s="6" t="inlineStr">
        <is>
          <t>Permanent Loan LTV</t>
        </is>
      </c>
      <c r="B49" s="19" t="n">
        <v>0.65</v>
      </c>
      <c r="C49" s="3" t="inlineStr"/>
      <c r="D49" s="3" t="inlineStr"/>
    </row>
    <row r="50">
      <c r="A50" s="6" t="inlineStr">
        <is>
          <t>Permanent Loan Rate</t>
        </is>
      </c>
      <c r="B50" s="21" t="n">
        <v>0.055</v>
      </c>
      <c r="C50" s="3" t="inlineStr"/>
      <c r="D50" s="3" t="inlineStr"/>
    </row>
    <row r="51">
      <c r="A51" s="6" t="inlineStr">
        <is>
          <t>Amortization</t>
        </is>
      </c>
      <c r="B51" s="16" t="n">
        <v>30</v>
      </c>
      <c r="C51" s="3" t="inlineStr">
        <is>
          <t>years</t>
        </is>
      </c>
      <c r="D51" s="3" t="inlineStr"/>
    </row>
    <row r="52">
      <c r="A52" s="6" t="inlineStr">
        <is>
          <t>Permanent Loan Term</t>
        </is>
      </c>
      <c r="B52" s="16" t="n">
        <v>10</v>
      </c>
      <c r="C52" s="3" t="inlineStr">
        <is>
          <t>years</t>
        </is>
      </c>
      <c r="D52" s="3" t="inlineStr"/>
    </row>
    <row r="53" ht="6" customHeight="1"/>
    <row r="54">
      <c r="A54" s="4" t="inlineStr">
        <is>
          <t>EXIT ASSUMPTIONS</t>
        </is>
      </c>
      <c r="B54" s="5" t="n"/>
      <c r="C54" s="5" t="n"/>
      <c r="D54" s="5" t="n"/>
    </row>
    <row r="55">
      <c r="A55" s="6" t="inlineStr">
        <is>
          <t>Exit Cap Rate</t>
        </is>
      </c>
      <c r="B55" s="21" t="n">
        <v>0.0525</v>
      </c>
      <c r="C55" s="3" t="inlineStr"/>
      <c r="D55" s="3" t="inlineStr"/>
    </row>
    <row r="56">
      <c r="A56" s="6" t="inlineStr">
        <is>
          <t>Disposition Costs</t>
        </is>
      </c>
      <c r="B56" s="19" t="n">
        <v>0.02</v>
      </c>
      <c r="C56" s="3" t="inlineStr"/>
      <c r="D56" s="3" t="inlineStr"/>
    </row>
    <row r="57">
      <c r="A57" s="6" t="inlineStr">
        <is>
          <t>Hold Period (from stabilization)</t>
        </is>
      </c>
      <c r="B57" s="16" t="n">
        <v>5</v>
      </c>
      <c r="C57" s="3" t="inlineStr">
        <is>
          <t>years</t>
        </is>
      </c>
      <c r="D57" s="3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14" t="inlineStr">
        <is>
          <t>Line Item</t>
        </is>
      </c>
      <c r="B1" s="14" t="inlineStr">
        <is>
          <t>Amount</t>
        </is>
      </c>
      <c r="C1" s="14" t="inlineStr">
        <is>
          <t>$/Unit</t>
        </is>
      </c>
      <c r="D1" s="14" t="inlineStr">
        <is>
          <t>$/SF</t>
        </is>
      </c>
      <c r="E1" s="14" t="inlineStr">
        <is>
          <t>% of TDC</t>
        </is>
      </c>
    </row>
    <row r="2">
      <c r="A2" s="2" t="inlineStr">
        <is>
          <t>USES OF FUNDS</t>
        </is>
      </c>
    </row>
    <row r="3">
      <c r="A3" s="4" t="inlineStr">
        <is>
          <t>A. Land / Acquisition</t>
        </is>
      </c>
      <c r="B3" s="5" t="n"/>
      <c r="C3" s="5" t="n"/>
      <c r="D3" s="5" t="n"/>
      <c r="E3" s="5" t="n"/>
    </row>
    <row r="4">
      <c r="A4" s="6" t="inlineStr">
        <is>
          <t>Land Purchase Price</t>
        </is>
      </c>
      <c r="B4" s="18" t="n">
        <v>5800000</v>
      </c>
      <c r="C4" s="22">
        <f>B4/200</f>
        <v/>
      </c>
      <c r="D4" s="22">
        <f>B4/178000</f>
        <v/>
      </c>
      <c r="E4" s="23">
        <f>IF(B30=0,0,B4/B30)</f>
        <v/>
      </c>
    </row>
    <row r="5" ht="6" customHeight="1"/>
    <row r="6">
      <c r="A6" s="4" t="inlineStr">
        <is>
          <t>B. Hard Costs</t>
        </is>
      </c>
      <c r="B6" s="5" t="n"/>
      <c r="C6" s="5" t="n"/>
      <c r="D6" s="5" t="n"/>
      <c r="E6" s="5" t="n"/>
    </row>
    <row r="7">
      <c r="A7" s="6" t="inlineStr">
        <is>
          <t>Vertical Construction</t>
        </is>
      </c>
      <c r="B7" s="18" t="n">
        <v>36647058.82352941</v>
      </c>
      <c r="C7" s="22">
        <f>B7/200</f>
        <v/>
      </c>
      <c r="D7" s="22">
        <f>B7/178000</f>
        <v/>
      </c>
      <c r="E7" s="23">
        <f>IF(B30=0,0,B7/B30)</f>
        <v/>
      </c>
    </row>
    <row r="8">
      <c r="A8" s="6" t="inlineStr">
        <is>
          <t>Site Work</t>
        </is>
      </c>
      <c r="B8" s="18" t="n">
        <v>2800000</v>
      </c>
      <c r="C8" s="22">
        <f>B8/200</f>
        <v/>
      </c>
      <c r="D8" s="22">
        <f>B8/178000</f>
        <v/>
      </c>
      <c r="E8" s="23">
        <f>IF(B30=0,0,B8/B30)</f>
        <v/>
      </c>
    </row>
    <row r="9">
      <c r="A9" s="6" t="inlineStr">
        <is>
          <t>Hard Cost Contingency</t>
        </is>
      </c>
      <c r="B9" s="9">
        <f>(B7+B8)*0.07</f>
        <v/>
      </c>
      <c r="C9" s="22">
        <f>B9/200</f>
        <v/>
      </c>
      <c r="D9" s="22">
        <f>B9/178000</f>
        <v/>
      </c>
      <c r="E9" s="23">
        <f>IF(B30=0,0,B9/B30)</f>
        <v/>
      </c>
    </row>
    <row r="10">
      <c r="A10" s="24" t="inlineStr">
        <is>
          <t>Total Hard Costs</t>
        </is>
      </c>
      <c r="B10" s="25">
        <f>SUM(B7:B9)</f>
        <v/>
      </c>
      <c r="C10" s="26">
        <f>B10/200</f>
        <v/>
      </c>
      <c r="D10" s="26">
        <f>B10/178000</f>
        <v/>
      </c>
      <c r="E10" s="23">
        <f>IF(B30=0,0,B10/B30)</f>
        <v/>
      </c>
    </row>
    <row r="11" ht="6" customHeight="1"/>
    <row r="12">
      <c r="A12" s="4" t="inlineStr">
        <is>
          <t>C. Soft Costs</t>
        </is>
      </c>
      <c r="B12" s="5" t="n"/>
      <c r="C12" s="5" t="n"/>
      <c r="D12" s="5" t="n"/>
      <c r="E12" s="5" t="n"/>
    </row>
    <row r="13">
      <c r="A13" s="6" t="inlineStr">
        <is>
          <t>Architecture &amp; Engineering</t>
        </is>
      </c>
      <c r="B13" s="18" t="n">
        <v>2800000</v>
      </c>
      <c r="C13" s="22">
        <f>B13/200</f>
        <v/>
      </c>
      <c r="D13" s="22">
        <f>B13/178000</f>
        <v/>
      </c>
      <c r="E13" s="23">
        <f>IF(B30=0,0,B13/B30)</f>
        <v/>
      </c>
    </row>
    <row r="14">
      <c r="A14" s="6" t="inlineStr">
        <is>
          <t>Permits &amp; Impact Fees</t>
        </is>
      </c>
      <c r="B14" s="18" t="n">
        <v>1600000</v>
      </c>
      <c r="C14" s="22">
        <f>B14/200</f>
        <v/>
      </c>
      <c r="D14" s="22">
        <f>B14/178000</f>
        <v/>
      </c>
      <c r="E14" s="23">
        <f>IF(B30=0,0,B14/B30)</f>
        <v/>
      </c>
    </row>
    <row r="15">
      <c r="A15" s="6" t="inlineStr">
        <is>
          <t>Legal &amp; Accounting</t>
        </is>
      </c>
      <c r="B15" s="18" t="n">
        <v>450000</v>
      </c>
      <c r="C15" s="22">
        <f>B15/200</f>
        <v/>
      </c>
      <c r="D15" s="22">
        <f>B15/178000</f>
        <v/>
      </c>
      <c r="E15" s="23">
        <f>IF(B30=0,0,B15/B30)</f>
        <v/>
      </c>
    </row>
    <row r="16">
      <c r="A16" s="6" t="inlineStr">
        <is>
          <t>Builder's Risk Insurance</t>
        </is>
      </c>
      <c r="B16" s="18" t="n">
        <v>380000</v>
      </c>
      <c r="C16" s="22">
        <f>B16/200</f>
        <v/>
      </c>
      <c r="D16" s="22">
        <f>B16/178000</f>
        <v/>
      </c>
      <c r="E16" s="23">
        <f>IF(B30=0,0,B16/B30)</f>
        <v/>
      </c>
    </row>
    <row r="17">
      <c r="A17" s="6" t="inlineStr">
        <is>
          <t>Marketing &amp; Lease-Up</t>
        </is>
      </c>
      <c r="B17" s="18" t="n">
        <v>500000</v>
      </c>
      <c r="C17" s="22">
        <f>B17/200</f>
        <v/>
      </c>
      <c r="D17" s="22">
        <f>B17/178000</f>
        <v/>
      </c>
      <c r="E17" s="23">
        <f>IF(B30=0,0,B17/B30)</f>
        <v/>
      </c>
    </row>
    <row r="18">
      <c r="A18" s="6" t="inlineStr">
        <is>
          <t>Property Taxes During Construction</t>
        </is>
      </c>
      <c r="B18" s="18" t="n">
        <v>320000</v>
      </c>
      <c r="C18" s="22">
        <f>B18/200</f>
        <v/>
      </c>
      <c r="D18" s="22">
        <f>B18/178000</f>
        <v/>
      </c>
      <c r="E18" s="23">
        <f>IF(B30=0,0,B18/B30)</f>
        <v/>
      </c>
    </row>
    <row r="19">
      <c r="A19" s="6" t="inlineStr">
        <is>
          <t>Appraisal, Title &amp; Survey</t>
        </is>
      </c>
      <c r="B19" s="18" t="n">
        <v>175000</v>
      </c>
      <c r="C19" s="22">
        <f>B19/200</f>
        <v/>
      </c>
      <c r="D19" s="22">
        <f>B19/178000</f>
        <v/>
      </c>
      <c r="E19" s="23">
        <f>IF(B30=0,0,B19/B30)</f>
        <v/>
      </c>
    </row>
    <row r="20">
      <c r="A20" s="6" t="inlineStr">
        <is>
          <t>Soft Cost Contingency</t>
        </is>
      </c>
      <c r="B20" s="9">
        <f>SUM(B13:B19)*0.05</f>
        <v/>
      </c>
      <c r="C20" s="22">
        <f>B20/200</f>
        <v/>
      </c>
      <c r="D20" s="22">
        <f>B20/178000</f>
        <v/>
      </c>
      <c r="E20" s="23">
        <f>IF(B30=0,0,B20/B30)</f>
        <v/>
      </c>
    </row>
    <row r="21">
      <c r="A21" s="24" t="inlineStr">
        <is>
          <t>Total Soft Costs</t>
        </is>
      </c>
      <c r="B21" s="25">
        <f>SUM(B13:B20)</f>
        <v/>
      </c>
      <c r="C21" s="26">
        <f>B21/200</f>
        <v/>
      </c>
      <c r="D21" s="26">
        <f>B21/178000</f>
        <v/>
      </c>
      <c r="E21" s="23">
        <f>IF(B30=0,0,B21/B30)</f>
        <v/>
      </c>
    </row>
    <row r="22" ht="6" customHeight="1"/>
    <row r="23">
      <c r="A23" s="4" t="inlineStr">
        <is>
          <t>D. Financing Costs</t>
        </is>
      </c>
      <c r="B23" s="5" t="n"/>
      <c r="C23" s="5" t="n"/>
      <c r="D23" s="5" t="n"/>
      <c r="E23" s="5" t="n"/>
    </row>
    <row r="24">
      <c r="A24" s="6" t="inlineStr">
        <is>
          <t>Loan Origination</t>
        </is>
      </c>
      <c r="B24" s="9">
        <f>B37*0.01</f>
        <v/>
      </c>
      <c r="C24" s="22">
        <f>B24/200</f>
        <v/>
      </c>
      <c r="D24" s="22">
        <f>B24/178000</f>
        <v/>
      </c>
      <c r="E24" s="23">
        <f>IF(B30=0,0,B24/B30)</f>
        <v/>
      </c>
    </row>
    <row r="25">
      <c r="A25" s="6" t="inlineStr">
        <is>
          <t>Capitalized Interest (est.)</t>
        </is>
      </c>
      <c r="B25" s="9">
        <f>B37*0.0725*0.5*20/12</f>
        <v/>
      </c>
      <c r="C25" s="22">
        <f>B25/200</f>
        <v/>
      </c>
      <c r="D25" s="22">
        <f>B25/178000</f>
        <v/>
      </c>
      <c r="E25" s="23">
        <f>IF(B30=0,0,B25/B30)</f>
        <v/>
      </c>
    </row>
    <row r="26">
      <c r="A26" s="24" t="inlineStr">
        <is>
          <t>Total Financing Costs</t>
        </is>
      </c>
      <c r="B26" s="25">
        <f>SUM(B24:B25)</f>
        <v/>
      </c>
      <c r="C26" s="26">
        <f>B26/200</f>
        <v/>
      </c>
      <c r="D26" s="26">
        <f>B26/178000</f>
        <v/>
      </c>
      <c r="E26" s="23">
        <f>IF(B30=0,0,B26/B30)</f>
        <v/>
      </c>
    </row>
    <row r="27" ht="6" customHeight="1"/>
    <row r="28">
      <c r="A28" s="6" t="inlineStr">
        <is>
          <t>Developer Fee</t>
        </is>
      </c>
      <c r="B28" s="9">
        <f>(B4+B10+B21)*0.04</f>
        <v/>
      </c>
      <c r="C28" s="22">
        <f>B28/200</f>
        <v/>
      </c>
      <c r="D28" s="22">
        <f>B28/178000</f>
        <v/>
      </c>
      <c r="E28" s="23">
        <f>IF(B30=0,0,B28/B30)</f>
        <v/>
      </c>
    </row>
    <row r="29" ht="6" customHeight="1"/>
    <row r="30">
      <c r="A30" s="27" t="inlineStr">
        <is>
          <t>TOTAL DEVELOPMENT COST</t>
        </is>
      </c>
      <c r="B30" s="28">
        <f>B4+B10+B21+B26+B28</f>
        <v/>
      </c>
      <c r="C30" s="29">
        <f>B30/200</f>
        <v/>
      </c>
      <c r="D30" s="29">
        <f>B30/178000</f>
        <v/>
      </c>
      <c r="E30" s="23">
        <f>IF(B30=0,0,B30/B30)</f>
        <v/>
      </c>
    </row>
    <row r="32" ht="6" customHeight="1"/>
    <row r="33">
      <c r="A33" s="2" t="inlineStr">
        <is>
          <t>SOURCES OF FUNDS</t>
        </is>
      </c>
    </row>
    <row r="34">
      <c r="A34" s="14" t="inlineStr">
        <is>
          <t>Source</t>
        </is>
      </c>
      <c r="B34" s="14" t="inlineStr">
        <is>
          <t>Amount</t>
        </is>
      </c>
      <c r="C34" s="14" t="inlineStr">
        <is>
          <t>% of Total</t>
        </is>
      </c>
      <c r="D34" s="14" t="inlineStr">
        <is>
          <t>Key Terms</t>
        </is>
      </c>
      <c r="E34" s="14" t="inlineStr"/>
    </row>
    <row r="35">
      <c r="A35" s="6" t="inlineStr">
        <is>
          <t>GP Equity</t>
        </is>
      </c>
      <c r="B35" s="9">
        <f>(B30-B37)*0.1</f>
        <v/>
      </c>
      <c r="C35" s="23">
        <f>IF(B30=0,0,B35/B30)</f>
        <v/>
      </c>
      <c r="D35" s="3" t="inlineStr">
        <is>
          <t>10% of equity</t>
        </is>
      </c>
    </row>
    <row r="36">
      <c r="A36" s="6" t="inlineStr">
        <is>
          <t>LP Equity</t>
        </is>
      </c>
      <c r="B36" s="9">
        <f>(B30-B37)*0.9</f>
        <v/>
      </c>
      <c r="C36" s="23">
        <f>IF(B30=0,0,B36/B30)</f>
        <v/>
      </c>
      <c r="D36" s="3" t="inlineStr">
        <is>
          <t>90% of equity</t>
        </is>
      </c>
    </row>
    <row r="37">
      <c r="A37" s="6" t="inlineStr">
        <is>
          <t>Construction Loan (Senior)</t>
        </is>
      </c>
      <c r="B37" s="9">
        <f>(0.65*(B4+B10+B21+B28))/(1-0.65*(0.01+0.0725*0.5*20/12))</f>
        <v/>
      </c>
      <c r="C37" s="23">
        <f>IF(B30=0,0,B37/B30)</f>
        <v/>
      </c>
      <c r="D37" s="3" t="inlineStr">
        <is>
          <t>65% LTC, 7.25%</t>
        </is>
      </c>
    </row>
    <row r="38">
      <c r="A38" s="27" t="inlineStr">
        <is>
          <t>TOTAL SOURCES</t>
        </is>
      </c>
      <c r="B38" s="28">
        <f>B35+B36+B37</f>
        <v/>
      </c>
      <c r="C38" s="30">
        <f>IF(B30=0,0,B38/B30)</f>
        <v/>
      </c>
    </row>
    <row r="40">
      <c r="A40" s="31" t="inlineStr">
        <is>
          <t>Sources - Uses (must = 0)</t>
        </is>
      </c>
      <c r="B40" s="13">
        <f>B38-B30</f>
        <v/>
      </c>
    </row>
  </sheetData>
  <conditionalFormatting sqref="B40">
    <cfRule type="cellIs" priority="1" operator="notEqual" dxfId="0">
      <formula>0</formula>
    </cfRule>
  </conditionalFormatting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111010"/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4" t="inlineStr">
        <is>
          <t>Description</t>
        </is>
      </c>
      <c r="B1" s="14" t="inlineStr">
        <is>
          <t>Year 1</t>
        </is>
      </c>
      <c r="C1" s="14" t="inlineStr">
        <is>
          <t>Year 2</t>
        </is>
      </c>
      <c r="D1" s="14" t="inlineStr">
        <is>
          <t>Year 3</t>
        </is>
      </c>
      <c r="E1" s="14" t="inlineStr">
        <is>
          <t>Year 4</t>
        </is>
      </c>
      <c r="F1" s="14" t="inlineStr">
        <is>
          <t>Year 5</t>
        </is>
      </c>
    </row>
    <row r="2">
      <c r="A2" s="4" t="inlineStr">
        <is>
          <t>UNIT MIX</t>
        </is>
      </c>
      <c r="B2" s="5" t="n"/>
      <c r="C2" s="5" t="n"/>
      <c r="D2" s="5" t="n"/>
      <c r="E2" s="5" t="n"/>
      <c r="F2" s="5" t="n"/>
    </row>
    <row r="3">
      <c r="A3" s="32" t="inlineStr">
        <is>
          <t>Unit Type</t>
        </is>
      </c>
      <c r="B3" s="33" t="inlineStr">
        <is>
          <t>Count</t>
        </is>
      </c>
      <c r="C3" s="33" t="inlineStr">
        <is>
          <t>Avg SF</t>
        </is>
      </c>
      <c r="D3" s="33" t="inlineStr">
        <is>
          <t>Rent/SF/Mo</t>
        </is>
      </c>
      <c r="E3" s="33" t="inlineStr">
        <is>
          <t>Rent/Unit/Mo</t>
        </is>
      </c>
      <c r="F3" s="33" t="inlineStr">
        <is>
          <t>Annual Rent</t>
        </is>
      </c>
    </row>
    <row r="4">
      <c r="A4" s="6" t="inlineStr">
        <is>
          <t>Studio</t>
        </is>
      </c>
      <c r="B4" s="16" t="n">
        <v>24</v>
      </c>
      <c r="C4" s="17" t="n">
        <v>550</v>
      </c>
      <c r="D4" s="34" t="n">
        <v>3.1</v>
      </c>
      <c r="E4" s="22">
        <f>C4*D4</f>
        <v/>
      </c>
      <c r="F4" s="9">
        <f>B4*E4*12</f>
        <v/>
      </c>
    </row>
    <row r="5">
      <c r="A5" s="6" t="inlineStr">
        <is>
          <t>1BR/1BA</t>
        </is>
      </c>
      <c r="B5" s="16" t="n">
        <v>80</v>
      </c>
      <c r="C5" s="17" t="n">
        <v>725</v>
      </c>
      <c r="D5" s="34" t="n">
        <v>2.95</v>
      </c>
      <c r="E5" s="22">
        <f>C5*D5</f>
        <v/>
      </c>
      <c r="F5" s="9">
        <f>B5*E5*12</f>
        <v/>
      </c>
    </row>
    <row r="6">
      <c r="A6" s="6" t="inlineStr">
        <is>
          <t>2BR/2BA</t>
        </is>
      </c>
      <c r="B6" s="16" t="n">
        <v>72</v>
      </c>
      <c r="C6" s="17" t="n">
        <v>1050</v>
      </c>
      <c r="D6" s="34" t="n">
        <v>2.75</v>
      </c>
      <c r="E6" s="22">
        <f>C6*D6</f>
        <v/>
      </c>
      <c r="F6" s="9">
        <f>B6*E6*12</f>
        <v/>
      </c>
    </row>
    <row r="7">
      <c r="A7" s="6" t="inlineStr">
        <is>
          <t>3BR/2BA</t>
        </is>
      </c>
      <c r="B7" s="16" t="n">
        <v>24</v>
      </c>
      <c r="C7" s="17" t="n">
        <v>1300</v>
      </c>
      <c r="D7" s="34" t="n">
        <v>2.55</v>
      </c>
      <c r="E7" s="22">
        <f>C7*D7</f>
        <v/>
      </c>
      <c r="F7" s="9">
        <f>B7*E7*12</f>
        <v/>
      </c>
    </row>
    <row r="8" ht="6" customHeight="1"/>
    <row r="9">
      <c r="A9" s="4" t="inlineStr">
        <is>
          <t>REVENUE PROJECTION</t>
        </is>
      </c>
      <c r="B9" s="5" t="n"/>
      <c r="C9" s="5" t="n"/>
      <c r="D9" s="5" t="n"/>
      <c r="E9" s="5" t="n"/>
      <c r="F9" s="5" t="n"/>
    </row>
    <row r="10">
      <c r="A10" s="6" t="inlineStr">
        <is>
          <t>Gross Potential Rent (GPR)</t>
        </is>
      </c>
      <c r="B10" s="9">
        <f>F4+F5+F6+F7</f>
        <v/>
      </c>
      <c r="C10" s="9">
        <f>B10*(1+0.03)</f>
        <v/>
      </c>
      <c r="D10" s="9">
        <f>C10*(1+0.03)</f>
        <v/>
      </c>
      <c r="E10" s="9">
        <f>D10*(1+0.03)</f>
        <v/>
      </c>
      <c r="F10" s="9">
        <f>E10*(1+0.03)</f>
        <v/>
      </c>
    </row>
    <row r="11">
      <c r="A11" s="6" t="inlineStr">
        <is>
          <t>(-) Loss to Lease</t>
        </is>
      </c>
      <c r="B11" s="9">
        <f>-B10*0.02</f>
        <v/>
      </c>
      <c r="C11" s="9">
        <f>-C10*0.02</f>
        <v/>
      </c>
      <c r="D11" s="9">
        <f>-D10*0.02</f>
        <v/>
      </c>
      <c r="E11" s="9">
        <f>-E10*0.02</f>
        <v/>
      </c>
      <c r="F11" s="9">
        <f>-F10*0.02</f>
        <v/>
      </c>
    </row>
    <row r="12">
      <c r="A12" s="6" t="inlineStr">
        <is>
          <t>(-) Vacancy</t>
        </is>
      </c>
      <c r="B12" s="9">
        <f>-B10*0.05</f>
        <v/>
      </c>
      <c r="C12" s="9">
        <f>-C10*0.05</f>
        <v/>
      </c>
      <c r="D12" s="9">
        <f>-D10*0.05</f>
        <v/>
      </c>
      <c r="E12" s="9">
        <f>-E10*0.05</f>
        <v/>
      </c>
      <c r="F12" s="9">
        <f>-F10*0.05</f>
        <v/>
      </c>
    </row>
    <row r="13">
      <c r="A13" s="6" t="inlineStr">
        <is>
          <t>(-) Concessions</t>
        </is>
      </c>
      <c r="B13" s="9">
        <f>-B10*0.08333333333333333</f>
        <v/>
      </c>
      <c r="C13" s="9">
        <f>-C10*0.08333333333333333</f>
        <v/>
      </c>
      <c r="D13" s="9">
        <f>-D10*0.08333333333333333</f>
        <v/>
      </c>
      <c r="E13" s="9">
        <f>-E10*0.08333333333333333</f>
        <v/>
      </c>
      <c r="F13" s="9">
        <f>-F10*0.08333333333333333</f>
        <v/>
      </c>
    </row>
    <row r="14">
      <c r="A14" s="6" t="inlineStr">
        <is>
          <t>(-) Bad Debt</t>
        </is>
      </c>
      <c r="B14" s="9">
        <f>-B10*0.01</f>
        <v/>
      </c>
      <c r="C14" s="9">
        <f>-C10*0.01</f>
        <v/>
      </c>
      <c r="D14" s="9">
        <f>-D10*0.01</f>
        <v/>
      </c>
      <c r="E14" s="9">
        <f>-E10*0.01</f>
        <v/>
      </c>
      <c r="F14" s="9">
        <f>-F10*0.01</f>
        <v/>
      </c>
    </row>
    <row r="15">
      <c r="A15" s="35" t="inlineStr">
        <is>
          <t>Net Rental Income</t>
        </is>
      </c>
      <c r="B15" s="36">
        <f>B10+B11+B12+B13+B14</f>
        <v/>
      </c>
      <c r="C15" s="36">
        <f>C10+C11+C12+C13+C14</f>
        <v/>
      </c>
      <c r="D15" s="36">
        <f>D10+D11+D12+D13+D14</f>
        <v/>
      </c>
      <c r="E15" s="36">
        <f>E10+E11+E12+E13+E14</f>
        <v/>
      </c>
      <c r="F15" s="36">
        <f>F10+F11+F12+F13+F14</f>
        <v/>
      </c>
    </row>
    <row r="16">
      <c r="A16" s="6" t="inlineStr">
        <is>
          <t>(+) Other Income</t>
        </is>
      </c>
      <c r="B16" s="18" t="n">
        <v>300000</v>
      </c>
      <c r="C16" s="9">
        <f>B16*(1+0.03)</f>
        <v/>
      </c>
      <c r="D16" s="9">
        <f>C16*(1+0.03)</f>
        <v/>
      </c>
      <c r="E16" s="9">
        <f>D16*(1+0.03)</f>
        <v/>
      </c>
      <c r="F16" s="9">
        <f>E16*(1+0.03)</f>
        <v/>
      </c>
    </row>
    <row r="17" ht="6" customHeight="1"/>
    <row r="18">
      <c r="A18" s="27" t="inlineStr">
        <is>
          <t>EFFECTIVE GROSS INCOME (EGI)</t>
        </is>
      </c>
      <c r="B18" s="28">
        <f>B15+B16</f>
        <v/>
      </c>
      <c r="C18" s="28">
        <f>C15+C16</f>
        <v/>
      </c>
      <c r="D18" s="28">
        <f>D15+D16</f>
        <v/>
      </c>
      <c r="E18" s="28">
        <f>E15+E16</f>
        <v/>
      </c>
      <c r="F18" s="28">
        <f>F15+F16</f>
        <v/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11010"/>
    <outlinePr summaryBelow="1" summaryRight="1"/>
    <pageSetUpPr/>
  </sheetPr>
  <dimension ref="A1:G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4" t="inlineStr">
        <is>
          <t>Expense Line Item</t>
        </is>
      </c>
      <c r="B1" s="14" t="inlineStr">
        <is>
          <t>$/Unit/Yr</t>
        </is>
      </c>
      <c r="C1" s="14" t="inlineStr">
        <is>
          <t>Year 1</t>
        </is>
      </c>
      <c r="D1" s="14" t="inlineStr">
        <is>
          <t>Year 2</t>
        </is>
      </c>
      <c r="E1" s="14" t="inlineStr">
        <is>
          <t>Year 3</t>
        </is>
      </c>
      <c r="F1" s="14" t="inlineStr">
        <is>
          <t>Year 4</t>
        </is>
      </c>
      <c r="G1" s="14" t="inlineStr">
        <is>
          <t>Year 5</t>
        </is>
      </c>
    </row>
    <row r="2">
      <c r="A2" s="6" t="inlineStr">
        <is>
          <t>Management Fee</t>
        </is>
      </c>
      <c r="B2" s="15" t="inlineStr">
        <is>
          <t>3.0% EGI</t>
        </is>
      </c>
      <c r="C2" s="9">
        <f>'Revenue'!B18*0.03</f>
        <v/>
      </c>
      <c r="D2" s="9">
        <f>'Revenue'!C18*0.03</f>
        <v/>
      </c>
      <c r="E2" s="9">
        <f>'Revenue'!D18*0.03</f>
        <v/>
      </c>
      <c r="F2" s="9">
        <f>'Revenue'!E18*0.03</f>
        <v/>
      </c>
      <c r="G2" s="9">
        <f>'Revenue'!F18*0.03</f>
        <v/>
      </c>
    </row>
    <row r="3">
      <c r="A3" s="6" t="inlineStr">
        <is>
          <t>Payroll &amp; Benefits</t>
        </is>
      </c>
      <c r="B3" s="20" t="n">
        <v>1100</v>
      </c>
      <c r="C3" s="18" t="n">
        <v>220000</v>
      </c>
      <c r="D3" s="9">
        <f>C3*(1+0.03)</f>
        <v/>
      </c>
      <c r="E3" s="9">
        <f>D3*(1+0.03)</f>
        <v/>
      </c>
      <c r="F3" s="9">
        <f>E3*(1+0.03)</f>
        <v/>
      </c>
      <c r="G3" s="9">
        <f>F3*(1+0.03)</f>
        <v/>
      </c>
    </row>
    <row r="4">
      <c r="A4" s="6" t="inlineStr">
        <is>
          <t>Repairs &amp; Maintenance</t>
        </is>
      </c>
      <c r="B4" s="20" t="n">
        <v>600</v>
      </c>
      <c r="C4" s="18" t="n">
        <v>120000</v>
      </c>
      <c r="D4" s="9">
        <f>C4*(1+0.03)</f>
        <v/>
      </c>
      <c r="E4" s="9">
        <f>D4*(1+0.03)</f>
        <v/>
      </c>
      <c r="F4" s="9">
        <f>E4*(1+0.03)</f>
        <v/>
      </c>
      <c r="G4" s="9">
        <f>F4*(1+0.03)</f>
        <v/>
      </c>
    </row>
    <row r="5">
      <c r="A5" s="6" t="inlineStr">
        <is>
          <t>Turnover Costs</t>
        </is>
      </c>
      <c r="B5" s="20" t="n">
        <v>350</v>
      </c>
      <c r="C5" s="18" t="n">
        <v>70000</v>
      </c>
      <c r="D5" s="9">
        <f>C5*(1+0.03)</f>
        <v/>
      </c>
      <c r="E5" s="9">
        <f>D5*(1+0.03)</f>
        <v/>
      </c>
      <c r="F5" s="9">
        <f>E5*(1+0.03)</f>
        <v/>
      </c>
      <c r="G5" s="9">
        <f>F5*(1+0.03)</f>
        <v/>
      </c>
    </row>
    <row r="6">
      <c r="A6" s="6" t="inlineStr">
        <is>
          <t>Contract Services</t>
        </is>
      </c>
      <c r="B6" s="20" t="n">
        <v>250</v>
      </c>
      <c r="C6" s="18" t="n">
        <v>50000</v>
      </c>
      <c r="D6" s="9">
        <f>C6*(1+0.03)</f>
        <v/>
      </c>
      <c r="E6" s="9">
        <f>D6*(1+0.03)</f>
        <v/>
      </c>
      <c r="F6" s="9">
        <f>E6*(1+0.03)</f>
        <v/>
      </c>
      <c r="G6" s="9">
        <f>F6*(1+0.03)</f>
        <v/>
      </c>
    </row>
    <row r="7">
      <c r="A7" s="6" t="inlineStr">
        <is>
          <t>Water / Sewer</t>
        </is>
      </c>
      <c r="B7" s="20" t="n">
        <v>425</v>
      </c>
      <c r="C7" s="18" t="n">
        <v>85000</v>
      </c>
      <c r="D7" s="9">
        <f>C7*(1+0.03)</f>
        <v/>
      </c>
      <c r="E7" s="9">
        <f>D7*(1+0.03)</f>
        <v/>
      </c>
      <c r="F7" s="9">
        <f>E7*(1+0.03)</f>
        <v/>
      </c>
      <c r="G7" s="9">
        <f>F7*(1+0.03)</f>
        <v/>
      </c>
    </row>
    <row r="8">
      <c r="A8" s="6" t="inlineStr">
        <is>
          <t>Electric</t>
        </is>
      </c>
      <c r="B8" s="20" t="n">
        <v>240</v>
      </c>
      <c r="C8" s="18" t="n">
        <v>48000</v>
      </c>
      <c r="D8" s="9">
        <f>C8*(1+0.03)</f>
        <v/>
      </c>
      <c r="E8" s="9">
        <f>D8*(1+0.03)</f>
        <v/>
      </c>
      <c r="F8" s="9">
        <f>E8*(1+0.03)</f>
        <v/>
      </c>
      <c r="G8" s="9">
        <f>F8*(1+0.03)</f>
        <v/>
      </c>
    </row>
    <row r="9">
      <c r="A9" s="6" t="inlineStr">
        <is>
          <t>Gas</t>
        </is>
      </c>
      <c r="B9" s="20" t="n">
        <v>175</v>
      </c>
      <c r="C9" s="18" t="n">
        <v>35000</v>
      </c>
      <c r="D9" s="9">
        <f>C9*(1+0.03)</f>
        <v/>
      </c>
      <c r="E9" s="9">
        <f>D9*(1+0.03)</f>
        <v/>
      </c>
      <c r="F9" s="9">
        <f>E9*(1+0.03)</f>
        <v/>
      </c>
      <c r="G9" s="9">
        <f>F9*(1+0.03)</f>
        <v/>
      </c>
    </row>
    <row r="10">
      <c r="A10" s="6" t="inlineStr">
        <is>
          <t>Trash Removal</t>
        </is>
      </c>
      <c r="B10" s="20" t="n">
        <v>200</v>
      </c>
      <c r="C10" s="18" t="n">
        <v>40000</v>
      </c>
      <c r="D10" s="9">
        <f>C10*(1+0.03)</f>
        <v/>
      </c>
      <c r="E10" s="9">
        <f>D10*(1+0.03)</f>
        <v/>
      </c>
      <c r="F10" s="9">
        <f>E10*(1+0.03)</f>
        <v/>
      </c>
      <c r="G10" s="9">
        <f>F10*(1+0.03)</f>
        <v/>
      </c>
    </row>
    <row r="11">
      <c r="A11" s="6" t="inlineStr">
        <is>
          <t>Insurance</t>
        </is>
      </c>
      <c r="B11" s="20" t="n">
        <v>525</v>
      </c>
      <c r="C11" s="18" t="n">
        <v>105000</v>
      </c>
      <c r="D11" s="9">
        <f>C11*(1+0.07)</f>
        <v/>
      </c>
      <c r="E11" s="9">
        <f>D11*(1+0.07)</f>
        <v/>
      </c>
      <c r="F11" s="9">
        <f>E11*(1+0.07)</f>
        <v/>
      </c>
      <c r="G11" s="9">
        <f>F11*(1+0.07)</f>
        <v/>
      </c>
    </row>
    <row r="12">
      <c r="A12" s="6" t="inlineStr">
        <is>
          <t>Real Estate Taxes</t>
        </is>
      </c>
      <c r="B12" s="20" t="n">
        <v>2200</v>
      </c>
      <c r="C12" s="18" t="n">
        <v>440000</v>
      </c>
      <c r="D12" s="9">
        <f>C12*(1+0.03)</f>
        <v/>
      </c>
      <c r="E12" s="9">
        <f>D12*(1+0.03)</f>
        <v/>
      </c>
      <c r="F12" s="9">
        <f>E12*(1+0.03)</f>
        <v/>
      </c>
      <c r="G12" s="9">
        <f>F12*(1+0.03)</f>
        <v/>
      </c>
    </row>
    <row r="13">
      <c r="A13" s="6" t="inlineStr">
        <is>
          <t>Admin / G&amp;A</t>
        </is>
      </c>
      <c r="B13" s="20" t="n">
        <v>240</v>
      </c>
      <c r="C13" s="18" t="n">
        <v>48000</v>
      </c>
      <c r="D13" s="9">
        <f>C13*(1+0.03)</f>
        <v/>
      </c>
      <c r="E13" s="9">
        <f>D13*(1+0.03)</f>
        <v/>
      </c>
      <c r="F13" s="9">
        <f>E13*(1+0.03)</f>
        <v/>
      </c>
      <c r="G13" s="9">
        <f>F13*(1+0.03)</f>
        <v/>
      </c>
    </row>
    <row r="14">
      <c r="A14" s="6" t="inlineStr">
        <is>
          <t>Marketing</t>
        </is>
      </c>
      <c r="B14" s="20" t="n">
        <v>150</v>
      </c>
      <c r="C14" s="18" t="n">
        <v>30000</v>
      </c>
      <c r="D14" s="9">
        <f>C14*(1+0.03)</f>
        <v/>
      </c>
      <c r="E14" s="9">
        <f>D14*(1+0.03)</f>
        <v/>
      </c>
      <c r="F14" s="9">
        <f>E14*(1+0.03)</f>
        <v/>
      </c>
      <c r="G14" s="9">
        <f>F14*(1+0.03)</f>
        <v/>
      </c>
    </row>
    <row r="15">
      <c r="A15" s="6" t="inlineStr">
        <is>
          <t>Replacement Reserves</t>
        </is>
      </c>
      <c r="B15" s="20" t="n">
        <v>250</v>
      </c>
      <c r="C15" s="18" t="n">
        <v>50000</v>
      </c>
      <c r="D15" s="9">
        <f>C15*(1+0.03)</f>
        <v/>
      </c>
      <c r="E15" s="9">
        <f>D15*(1+0.03)</f>
        <v/>
      </c>
      <c r="F15" s="9">
        <f>E15*(1+0.03)</f>
        <v/>
      </c>
      <c r="G15" s="9">
        <f>F15*(1+0.03)</f>
        <v/>
      </c>
    </row>
    <row r="16" ht="6" customHeight="1"/>
    <row r="17">
      <c r="A17" s="27" t="inlineStr">
        <is>
          <t>TOTAL OPERATING EXPENSES</t>
        </is>
      </c>
      <c r="B17" s="7" t="inlineStr"/>
      <c r="C17" s="28">
        <f>C2+C3+C4+C5+C6+C7+C8+C9+C10+C11+C12+C13+C14+C15</f>
        <v/>
      </c>
      <c r="D17" s="28">
        <f>D2+D3+D4+D5+D6+D7+D8+D9+D10+D11+D12+D13+D14+D15</f>
        <v/>
      </c>
      <c r="E17" s="28">
        <f>E2+E3+E4+E5+E6+E7+E8+E9+E10+E11+E12+E13+E14+E15</f>
        <v/>
      </c>
      <c r="F17" s="28">
        <f>F2+F3+F4+F5+F6+F7+F8+F9+F10+F11+F12+F13+F14+F15</f>
        <v/>
      </c>
      <c r="G17" s="28">
        <f>G2+G3+G4+G5+G6+G7+G8+G9+G10+G11+G12+G13+G14+G15</f>
        <v/>
      </c>
    </row>
    <row r="18">
      <c r="A18" s="3" t="inlineStr">
        <is>
          <t>OpEx per Unit</t>
        </is>
      </c>
      <c r="C18" s="37">
        <f>C17/200</f>
        <v/>
      </c>
      <c r="D18" s="37">
        <f>D17/200</f>
        <v/>
      </c>
      <c r="E18" s="37">
        <f>E17/200</f>
        <v/>
      </c>
      <c r="F18" s="37">
        <f>F17/200</f>
        <v/>
      </c>
      <c r="G18" s="37">
        <f>G17/200</f>
        <v/>
      </c>
    </row>
    <row r="19">
      <c r="A19" s="3" t="inlineStr">
        <is>
          <t>OpEx Ratio (% of EGI)</t>
        </is>
      </c>
      <c r="C19" s="38">
        <f>IF('Revenue'!B18=0,0,C17/'Revenue'!B18)</f>
        <v/>
      </c>
      <c r="D19" s="38">
        <f>IF('Revenue'!C18=0,0,D17/'Revenue'!C18)</f>
        <v/>
      </c>
      <c r="E19" s="38">
        <f>IF('Revenue'!D18=0,0,E17/'Revenue'!D18)</f>
        <v/>
      </c>
      <c r="F19" s="38">
        <f>IF('Revenue'!E18=0,0,F17/'Revenue'!E18)</f>
        <v/>
      </c>
      <c r="G19" s="38">
        <f>IF('Revenue'!F18=0,0,G17/'Revenue'!F18)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11010"/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Description</t>
        </is>
      </c>
      <c r="B1" s="14" t="inlineStr">
        <is>
          <t>Year 1</t>
        </is>
      </c>
      <c r="C1" s="14" t="inlineStr">
        <is>
          <t>Year 2</t>
        </is>
      </c>
      <c r="D1" s="14" t="inlineStr">
        <is>
          <t>Year 3</t>
        </is>
      </c>
      <c r="E1" s="14" t="inlineStr">
        <is>
          <t>Year 4</t>
        </is>
      </c>
      <c r="F1" s="14" t="inlineStr">
        <is>
          <t>Year 5</t>
        </is>
      </c>
    </row>
    <row r="2">
      <c r="A2" s="6" t="inlineStr">
        <is>
          <t>Effective Gross Income</t>
        </is>
      </c>
      <c r="B2" s="9">
        <f>'Revenue'!B18</f>
        <v/>
      </c>
      <c r="C2" s="9">
        <f>'Revenue'!C18</f>
        <v/>
      </c>
      <c r="D2" s="9">
        <f>'Revenue'!D18</f>
        <v/>
      </c>
      <c r="E2" s="9">
        <f>'Revenue'!E18</f>
        <v/>
      </c>
      <c r="F2" s="9">
        <f>'Revenue'!F18</f>
        <v/>
      </c>
    </row>
    <row r="3">
      <c r="A3" s="6" t="inlineStr">
        <is>
          <t>(-) Operating Expenses</t>
        </is>
      </c>
      <c r="B3" s="9">
        <f>-'OpEx'!C17</f>
        <v/>
      </c>
      <c r="C3" s="9">
        <f>-'OpEx'!D17</f>
        <v/>
      </c>
      <c r="D3" s="9">
        <f>-'OpEx'!E17</f>
        <v/>
      </c>
      <c r="E3" s="9">
        <f>-'OpEx'!F17</f>
        <v/>
      </c>
      <c r="F3" s="9">
        <f>-'OpEx'!G17</f>
        <v/>
      </c>
    </row>
    <row r="4" ht="6" customHeight="1"/>
    <row r="5">
      <c r="A5" s="39" t="inlineStr">
        <is>
          <t>NET OPERATING INCOME (NOI)</t>
        </is>
      </c>
      <c r="B5" s="40">
        <f>B2+B3</f>
        <v/>
      </c>
      <c r="C5" s="40">
        <f>C2+C3</f>
        <v/>
      </c>
      <c r="D5" s="40">
        <f>D2+D3</f>
        <v/>
      </c>
      <c r="E5" s="40">
        <f>E2+E3</f>
        <v/>
      </c>
      <c r="F5" s="40">
        <f>F2+F3</f>
        <v/>
      </c>
    </row>
    <row r="6" ht="6" customHeight="1"/>
    <row r="7">
      <c r="A7" s="6" t="inlineStr">
        <is>
          <t>(-) Annual Debt Service</t>
        </is>
      </c>
      <c r="B7" s="9">
        <f>PMT(0.055/12,30*12,'Sources &amp; Uses'!B30*0.65)*12</f>
        <v/>
      </c>
      <c r="C7" s="9">
        <f>PMT(0.055/12,30*12,'Sources &amp; Uses'!B30*0.65)*12</f>
        <v/>
      </c>
      <c r="D7" s="9">
        <f>PMT(0.055/12,30*12,'Sources &amp; Uses'!B30*0.65)*12</f>
        <v/>
      </c>
      <c r="E7" s="9">
        <f>PMT(0.055/12,30*12,'Sources &amp; Uses'!B30*0.65)*12</f>
        <v/>
      </c>
      <c r="F7" s="9">
        <f>PMT(0.055/12,30*12,'Sources &amp; Uses'!B30*0.65)*12</f>
        <v/>
      </c>
    </row>
    <row r="8">
      <c r="A8" s="41" t="inlineStr">
        <is>
          <t>BEFORE-TAX CASH FLOW (BTCF)</t>
        </is>
      </c>
      <c r="B8" s="42">
        <f>B5+B7</f>
        <v/>
      </c>
      <c r="C8" s="42">
        <f>C5+C7</f>
        <v/>
      </c>
      <c r="D8" s="42">
        <f>D5+D7</f>
        <v/>
      </c>
      <c r="E8" s="42">
        <f>E5+E7</f>
        <v/>
      </c>
      <c r="F8" s="42">
        <f>F5+F7</f>
        <v/>
      </c>
    </row>
    <row r="9" ht="6" customHeight="1"/>
    <row r="10">
      <c r="A10" s="4" t="inlineStr">
        <is>
          <t>KEY METRICS</t>
        </is>
      </c>
      <c r="B10" s="5" t="n"/>
      <c r="C10" s="5" t="n"/>
      <c r="D10" s="5" t="n"/>
      <c r="E10" s="5" t="n"/>
      <c r="F10" s="5" t="n"/>
    </row>
    <row r="11">
      <c r="A11" s="6" t="inlineStr">
        <is>
          <t>Yield on Cost</t>
        </is>
      </c>
      <c r="B11" s="43">
        <f>IF('Sources &amp; Uses'!B30=0,0,B5/'Sources &amp; Uses'!B30)</f>
        <v/>
      </c>
      <c r="C11" s="43">
        <f>IF('Sources &amp; Uses'!B30=0,0,C5/'Sources &amp; Uses'!B30)</f>
        <v/>
      </c>
      <c r="D11" s="43">
        <f>IF('Sources &amp; Uses'!B30=0,0,D5/'Sources &amp; Uses'!B30)</f>
        <v/>
      </c>
      <c r="E11" s="43">
        <f>IF('Sources &amp; Uses'!B30=0,0,E5/'Sources &amp; Uses'!B30)</f>
        <v/>
      </c>
      <c r="F11" s="43">
        <f>IF('Sources &amp; Uses'!B30=0,0,F5/'Sources &amp; Uses'!B30)</f>
        <v/>
      </c>
    </row>
    <row r="12">
      <c r="A12" s="6" t="inlineStr">
        <is>
          <t>DSCR</t>
        </is>
      </c>
      <c r="B12" s="44">
        <f>IF(B7=0,0,B5/ABS(B7))</f>
        <v/>
      </c>
      <c r="C12" s="44">
        <f>IF(C7=0,0,C5/ABS(C7))</f>
        <v/>
      </c>
      <c r="D12" s="44">
        <f>IF(D7=0,0,D5/ABS(D7))</f>
        <v/>
      </c>
      <c r="E12" s="44">
        <f>IF(E7=0,0,E5/ABS(E7))</f>
        <v/>
      </c>
      <c r="F12" s="44">
        <f>IF(F7=0,0,F5/ABS(F7))</f>
        <v/>
      </c>
    </row>
    <row r="13">
      <c r="A13" s="6" t="inlineStr">
        <is>
          <t>Cash-on-Cash Return</t>
        </is>
      </c>
      <c r="B13" s="23">
        <f>IF('Sources &amp; Uses'!B35+'Sources &amp; Uses'!B36=0,0,B8/('Sources &amp; Uses'!B35+'Sources &amp; Uses'!B36))</f>
        <v/>
      </c>
      <c r="C13" s="23">
        <f>IF('Sources &amp; Uses'!B35+'Sources &amp; Uses'!B36=0,0,C8/('Sources &amp; Uses'!B35+'Sources &amp; Uses'!B36))</f>
        <v/>
      </c>
      <c r="D13" s="23">
        <f>IF('Sources &amp; Uses'!B35+'Sources &amp; Uses'!B36=0,0,D8/('Sources &amp; Uses'!B35+'Sources &amp; Uses'!B36))</f>
        <v/>
      </c>
      <c r="E13" s="23">
        <f>IF('Sources &amp; Uses'!B35+'Sources &amp; Uses'!B36=0,0,E8/('Sources &amp; Uses'!B35+'Sources &amp; Uses'!B36))</f>
        <v/>
      </c>
      <c r="F13" s="23">
        <f>IF('Sources &amp; Uses'!B35+'Sources &amp; Uses'!B36=0,0,F8/('Sources &amp; Uses'!B35+'Sources &amp; Uses'!B36))</f>
        <v/>
      </c>
    </row>
    <row r="14" ht="6" customHeight="1"/>
    <row r="15">
      <c r="A15" s="4" t="inlineStr">
        <is>
          <t>DISPOSITION ANALYSIS</t>
        </is>
      </c>
      <c r="B15" s="5" t="n"/>
      <c r="C15" s="5" t="n"/>
      <c r="D15" s="5" t="n"/>
      <c r="E15" s="5" t="n"/>
      <c r="F15" s="5" t="n"/>
    </row>
    <row r="16">
      <c r="A16" s="6" t="inlineStr">
        <is>
          <t>Forward NOI (Year N+1)</t>
        </is>
      </c>
      <c r="B16" s="9">
        <f>F5*(1+0.03)</f>
        <v/>
      </c>
    </row>
    <row r="17">
      <c r="A17" s="6" t="inlineStr">
        <is>
          <t>Gross Sale Price</t>
        </is>
      </c>
      <c r="B17" s="9">
        <f>B16/0.0525</f>
        <v/>
      </c>
    </row>
    <row r="18">
      <c r="A18" s="6" t="inlineStr">
        <is>
          <t>(-) Disposition Costs</t>
        </is>
      </c>
      <c r="B18" s="9">
        <f>-B17*0.02</f>
        <v/>
      </c>
    </row>
    <row r="19">
      <c r="A19" s="39" t="inlineStr">
        <is>
          <t>NET SALE PROCEEDS</t>
        </is>
      </c>
      <c r="B19" s="40">
        <f>B17+B18</f>
        <v/>
      </c>
    </row>
    <row r="20">
      <c r="A20" s="6" t="inlineStr">
        <is>
          <t>Exit Cap Rate</t>
        </is>
      </c>
      <c r="B20" s="21" t="n">
        <v>0.0525</v>
      </c>
    </row>
  </sheetData>
  <conditionalFormatting sqref="B12:F12">
    <cfRule type="cellIs" priority="1" operator="greaterThanOrEqual" dxfId="1">
      <formula>1.25</formula>
    </cfRule>
    <cfRule type="cellIs" priority="2" operator="lessThan" dxfId="2">
      <formula>1.0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11010"/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Description</t>
        </is>
      </c>
      <c r="B1" s="14" t="inlineStr">
        <is>
          <t>Year 0</t>
        </is>
      </c>
      <c r="C1" s="14" t="inlineStr">
        <is>
          <t>Year 1</t>
        </is>
      </c>
      <c r="D1" s="14" t="inlineStr">
        <is>
          <t>Year 2</t>
        </is>
      </c>
      <c r="E1" s="14" t="inlineStr">
        <is>
          <t>Year 3</t>
        </is>
      </c>
      <c r="F1" s="14" t="inlineStr">
        <is>
          <t>Year 4</t>
        </is>
      </c>
      <c r="G1" s="14" t="inlineStr">
        <is>
          <t>Year 5</t>
        </is>
      </c>
      <c r="H1" s="14" t="inlineStr">
        <is>
          <t>Total</t>
        </is>
      </c>
    </row>
    <row r="2">
      <c r="A2" s="4" t="inlineStr">
        <is>
          <t>CASH FLOWS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s="6" t="inlineStr">
        <is>
          <t>Total Equity Invested</t>
        </is>
      </c>
      <c r="B3" s="9">
        <f>-('Sources &amp; Uses'!B35+'Sources &amp; Uses'!B36)</f>
        <v/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>
        <f>SUM(B3:G3)</f>
        <v/>
      </c>
    </row>
    <row r="4">
      <c r="A4" s="6" t="inlineStr">
        <is>
          <t>Operating Cash Flow</t>
        </is>
      </c>
      <c r="B4" s="9" t="n">
        <v>0</v>
      </c>
      <c r="C4" s="9">
        <f>'NOI &amp; Cash Flow'!B8</f>
        <v/>
      </c>
      <c r="D4" s="9">
        <f>'NOI &amp; Cash Flow'!C8</f>
        <v/>
      </c>
      <c r="E4" s="9">
        <f>'NOI &amp; Cash Flow'!D8</f>
        <v/>
      </c>
      <c r="F4" s="9">
        <f>'NOI &amp; Cash Flow'!E8</f>
        <v/>
      </c>
      <c r="G4" s="9">
        <f>'NOI &amp; Cash Flow'!F8</f>
        <v/>
      </c>
      <c r="H4" s="9">
        <f>SUM(B4:G4)</f>
        <v/>
      </c>
    </row>
    <row r="5">
      <c r="A5" s="6" t="inlineStr">
        <is>
          <t>Net Sale Proceeds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>
        <f>'NOI &amp; Cash Flow'!B19</f>
        <v/>
      </c>
      <c r="H5" s="9">
        <f>SUM(B5:G5)</f>
        <v/>
      </c>
    </row>
    <row r="6">
      <c r="A6" s="6" t="inlineStr">
        <is>
          <t>(-) Loan Payoff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>
        <f>FV(0.055/12,5*12,PMT(0.055/12,30*12,('Sources &amp; Uses'!B30*0.65)),('Sources &amp; Uses'!B30*0.65))</f>
        <v/>
      </c>
      <c r="H6" s="9">
        <f>SUM(B6:G6)</f>
        <v/>
      </c>
    </row>
    <row r="7">
      <c r="A7" s="27" t="inlineStr">
        <is>
          <t>Total Cash Available</t>
        </is>
      </c>
      <c r="B7" s="28">
        <f>B3+B4+B5+B6</f>
        <v/>
      </c>
      <c r="C7" s="28">
        <f>C3+C4+C5+C6</f>
        <v/>
      </c>
      <c r="D7" s="28">
        <f>D3+D4+D5+D6</f>
        <v/>
      </c>
      <c r="E7" s="28">
        <f>E3+E4+E5+E6</f>
        <v/>
      </c>
      <c r="F7" s="28">
        <f>F3+F4+F5+F6</f>
        <v/>
      </c>
      <c r="G7" s="28">
        <f>G3+G4+G5+G6</f>
        <v/>
      </c>
      <c r="H7" s="28">
        <f>H3+H4+H5+H6</f>
        <v/>
      </c>
    </row>
    <row r="8" ht="6" customHeight="1"/>
    <row r="9">
      <c r="A9" s="4" t="inlineStr">
        <is>
          <t>LP DISTRIBUTIONS (90% equity, 8% pref)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6" t="inlineStr">
        <is>
          <t>LP Distributions (pro-rata)</t>
        </is>
      </c>
      <c r="B10" s="9">
        <f>IF(B7&lt;0,B7*0.9,MAX(0,B7)*0.9)</f>
        <v/>
      </c>
      <c r="C10" s="9">
        <f>IF(C7&lt;0,C7*0.9,MAX(0,C7)*0.9)</f>
        <v/>
      </c>
      <c r="D10" s="9">
        <f>IF(D7&lt;0,D7*0.9,MAX(0,D7)*0.9)</f>
        <v/>
      </c>
      <c r="E10" s="9">
        <f>IF(E7&lt;0,E7*0.9,MAX(0,E7)*0.9)</f>
        <v/>
      </c>
      <c r="F10" s="9">
        <f>IF(F7&lt;0,F7*0.9,MAX(0,F7)*0.9)</f>
        <v/>
      </c>
      <c r="G10" s="9">
        <f>IF(G7&lt;0,G7*0.9,MAX(0,G7)*0.9)</f>
        <v/>
      </c>
      <c r="H10" s="9">
        <f>SUM(B10:G10)</f>
        <v/>
      </c>
    </row>
    <row r="11">
      <c r="A11" s="6" t="inlineStr">
        <is>
          <t>GP Distributions (pro-rata)</t>
        </is>
      </c>
      <c r="B11" s="9">
        <f>B7-B10</f>
        <v/>
      </c>
      <c r="C11" s="9">
        <f>C7-C10</f>
        <v/>
      </c>
      <c r="D11" s="9">
        <f>D7-D10</f>
        <v/>
      </c>
      <c r="E11" s="9">
        <f>E7-E10</f>
        <v/>
      </c>
      <c r="F11" s="9">
        <f>F7-F10</f>
        <v/>
      </c>
      <c r="G11" s="9">
        <f>G7-G10</f>
        <v/>
      </c>
      <c r="H11" s="9">
        <f>SUM(B11:G11)</f>
        <v/>
      </c>
    </row>
    <row r="12" ht="6" customHeight="1"/>
    <row r="13">
      <c r="A13" s="4" t="inlineStr">
        <is>
          <t>RETURN METRICS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31" t="inlineStr">
        <is>
          <t>Unlevered IRR (Project)</t>
        </is>
      </c>
      <c r="B14" s="11">
        <f>IFERROR(IRR(B7:G7),"N/A")</f>
        <v/>
      </c>
    </row>
    <row r="15">
      <c r="A15" s="31" t="inlineStr">
        <is>
          <t>LP IRR</t>
        </is>
      </c>
      <c r="B15" s="11">
        <f>IFERROR(IRR(B10:G10),"N/A")</f>
        <v/>
      </c>
    </row>
    <row r="16">
      <c r="A16" s="31" t="inlineStr">
        <is>
          <t>LP Equity Multiple</t>
        </is>
      </c>
      <c r="B16" s="12">
        <f>IF('Sources &amp; Uses'!B36=0,0,(SUMPRODUCT(MAX(B10:G10,0))/'Sources &amp; Uses'!B36))</f>
        <v/>
      </c>
    </row>
    <row r="17">
      <c r="A17" s="31" t="inlineStr">
        <is>
          <t>Development Spread (YoC - Exit Cap)</t>
        </is>
      </c>
      <c r="B17" s="10">
        <f>'NOI &amp; Cash Flow'!B11-'NOI &amp; Cash Flow'!B20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11010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SENSITIVITY ANALYSIS</t>
        </is>
      </c>
    </row>
    <row r="3">
      <c r="A3" s="2" t="inlineStr">
        <is>
          <t>Table 1: Levered IRR by Exit Cap Rate × Rent Adjustment</t>
        </is>
      </c>
    </row>
    <row r="4">
      <c r="A4" s="3" t="inlineStr">
        <is>
          <t>Note: Static scenario table. Formulas show base-case metrics; full DATA TABLE requires Excel's What-If → Data Table feature.</t>
        </is>
      </c>
    </row>
    <row r="6">
      <c r="A6" s="45" t="inlineStr">
        <is>
          <t>Base Case Metrics</t>
        </is>
      </c>
    </row>
    <row r="7">
      <c r="A7" s="6" t="inlineStr">
        <is>
          <t>Unlevered IRR</t>
        </is>
      </c>
      <c r="B7" s="11">
        <f>'Waterfall'!B14</f>
        <v/>
      </c>
    </row>
    <row r="8">
      <c r="A8" s="6" t="inlineStr">
        <is>
          <t>LP IRR</t>
        </is>
      </c>
      <c r="B8" s="11">
        <f>'Waterfall'!B15</f>
        <v/>
      </c>
    </row>
    <row r="9">
      <c r="A9" s="6" t="inlineStr">
        <is>
          <t>LP Equity Multiple</t>
        </is>
      </c>
      <c r="B9" s="12">
        <f>'Waterfall'!B16</f>
        <v/>
      </c>
    </row>
    <row r="10">
      <c r="A10" s="6" t="inlineStr">
        <is>
          <t>Yield on Cost (Year 1)</t>
        </is>
      </c>
      <c r="B10" s="10">
        <f>'NOI &amp; Cash Flow'!B11</f>
        <v/>
      </c>
    </row>
    <row r="11">
      <c r="A11" s="6" t="inlineStr">
        <is>
          <t>Development Spread</t>
        </is>
      </c>
      <c r="B11" s="10">
        <f>'Waterfall'!B17</f>
        <v/>
      </c>
    </row>
    <row r="12">
      <c r="A12" s="6" t="inlineStr">
        <is>
          <t>DSCR (Year 1)</t>
        </is>
      </c>
      <c r="B12" s="12">
        <f>'NOI &amp; Cash Flow'!B12</f>
        <v/>
      </c>
    </row>
    <row r="13">
      <c r="A13" s="6" t="inlineStr">
        <is>
          <t>Cash-on-Cash (Year 1)</t>
        </is>
      </c>
      <c r="B13" s="11">
        <f>'NOI &amp; Cash Flow'!B13</f>
        <v/>
      </c>
    </row>
    <row r="14">
      <c r="A14" s="6" t="inlineStr">
        <is>
          <t>Total Development Cost</t>
        </is>
      </c>
      <c r="B14" s="13">
        <f>'Sources &amp; Uses'!B30</f>
        <v/>
      </c>
    </row>
    <row r="15">
      <c r="A15" s="6" t="inlineStr">
        <is>
          <t>Cost per Unit</t>
        </is>
      </c>
      <c r="B15" s="13">
        <f>'Sources &amp; Uses'!B30/200</f>
        <v/>
      </c>
    </row>
    <row r="16">
      <c r="A16" s="6" t="inlineStr">
        <is>
          <t>Net Sale Price</t>
        </is>
      </c>
      <c r="B16" s="13">
        <f>'NOI &amp; Cash Flow'!B17</f>
        <v/>
      </c>
    </row>
  </sheetData>
  <conditionalFormatting sqref="B12">
    <cfRule type="cellIs" priority="1" operator="greaterThanOrEqual" dxfId="1">
      <formula>1.25</formula>
    </cfRule>
    <cfRule type="cellIs" priority="2" operator="lessThan" dxfId="2">
      <formula>1.0</formula>
    </cfRule>
  </conditionalFormatting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2026-04-12T20:42:01Z</dcterms:created>
  <dcterms:modified xmlns:dcterms="http://purl.org/dc/terms/" xmlns:xsi="http://www.w3.org/2001/XMLSchema-instance" xsi:type="dcterms:W3CDTF">2026-04-12T20:42:01Z</dcterms:modified>
</cp:coreProperties>
</file>