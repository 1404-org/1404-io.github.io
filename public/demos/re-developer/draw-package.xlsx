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w Summary" sheetId="1" state="visible" r:id="rId1"/>
    <sheet xmlns:r="http://schemas.openxmlformats.org/officeDocument/2006/relationships" name="G702" sheetId="2" state="visible" r:id="rId2"/>
    <sheet xmlns:r="http://schemas.openxmlformats.org/officeDocument/2006/relationships" name="G703" sheetId="3" state="visible" r:id="rId3"/>
    <sheet xmlns:r="http://schemas.openxmlformats.org/officeDocument/2006/relationships" name="Change Order Log" sheetId="4" state="visible" r:id="rId4"/>
    <sheet xmlns:r="http://schemas.openxmlformats.org/officeDocument/2006/relationships" name="Budget Summary" sheetId="5" state="visible" r:id="rId5"/>
    <sheet xmlns:r="http://schemas.openxmlformats.org/officeDocument/2006/relationships" name="Lien Waiver Tracker" sheetId="6" state="visible" r:id="rId6"/>
  </sheets>
  <definedNames>
    <definedName name="_xlnm.Print_Titles" localSheetId="0">'Draw Summary'!$1:$2</definedName>
    <definedName name="_xlnm.Print_Titles" localSheetId="2">'G703'!$1:$1</definedName>
    <definedName name="_xlnm.Print_Titles" localSheetId="3">'Change Order Log'!$1:$1</definedName>
    <definedName name="_xlnm.Print_Titles" localSheetId="4">'Budget Summary'!$1:$1</definedName>
    <definedName name="_xlnm.Print_Titles" localSheetId="5">'Lien Waiver Tracker'!$1:$1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_);_($* (#,##0);_($* &quot;-&quot;_)"/>
    <numFmt numFmtId="165" formatCode="0.0%"/>
  </numFmts>
  <fonts count="11">
    <font>
      <name val="Calibri"/>
      <family val="2"/>
      <color theme="1"/>
      <sz val="11"/>
      <scheme val="minor"/>
    </font>
    <font>
      <name val="Inter"/>
      <b val="1"/>
      <color rgb="00FFFFFF"/>
      <sz val="9"/>
    </font>
    <font>
      <name val="Inter"/>
      <b val="1"/>
      <sz val="11"/>
    </font>
    <font>
      <name val="Inter"/>
      <color rgb="000000FF"/>
      <sz val="10"/>
    </font>
    <font>
      <name val="Inter"/>
      <color rgb="00000000"/>
      <sz val="10"/>
    </font>
    <font>
      <name val="Inter"/>
      <b val="1"/>
      <sz val="10"/>
    </font>
    <font>
      <name val="Inter"/>
      <b val="1"/>
      <color rgb="00059669"/>
      <sz val="10"/>
    </font>
    <font>
      <name val="Inter"/>
      <b val="1"/>
      <sz val="14"/>
    </font>
    <font>
      <name val="Inter"/>
      <color rgb="009a948c"/>
      <sz val="9"/>
    </font>
    <font>
      <name val="Inter"/>
      <sz val="10"/>
    </font>
    <font>
      <name val="Inter"/>
      <b val="1"/>
      <sz val="12"/>
    </font>
  </fonts>
  <fills count="5">
    <fill>
      <patternFill/>
    </fill>
    <fill>
      <patternFill patternType="gray125"/>
    </fill>
    <fill>
      <patternFill patternType="solid">
        <fgColor rgb="00111010"/>
      </patternFill>
    </fill>
    <fill>
      <patternFill patternType="solid">
        <fgColor rgb="00D9D9D9"/>
      </patternFill>
    </fill>
    <fill>
      <patternFill patternType="solid">
        <fgColor rgb="00DAEEF3"/>
      </patternFill>
    </fill>
  </fills>
  <borders count="3">
    <border>
      <left/>
      <right/>
      <top/>
      <bottom/>
      <diagonal/>
    </border>
    <border>
      <top style="thin">
        <color rgb="00000000"/>
      </top>
    </border>
    <border>
      <top style="double">
        <color rgb="00000000"/>
      </top>
      <bottom style="thin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1" fontId="3" fillId="4" borderId="0" applyAlignment="1" pivotButton="0" quotePrefix="0" xfId="0">
      <alignment horizontal="right" vertical="center" wrapText="1"/>
    </xf>
    <xf numFmtId="164" fontId="4" fillId="0" borderId="0" applyAlignment="1" pivotButton="0" quotePrefix="0" xfId="0">
      <alignment horizontal="right" vertical="center" wrapText="1"/>
    </xf>
    <xf numFmtId="164" fontId="6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top"/>
    </xf>
    <xf numFmtId="0" fontId="3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164" fontId="3" fillId="4" borderId="0" applyAlignment="1" pivotButton="0" quotePrefix="0" xfId="0">
      <alignment horizontal="right" vertical="center" wrapText="1"/>
    </xf>
    <xf numFmtId="164" fontId="5" fillId="0" borderId="1" applyAlignment="1" pivotButton="0" quotePrefix="0" xfId="0">
      <alignment horizontal="right" vertical="center" wrapText="1"/>
    </xf>
    <xf numFmtId="164" fontId="6" fillId="0" borderId="2" applyAlignment="1" pivotButton="0" quotePrefix="0" xfId="0">
      <alignment horizontal="right" vertical="center" wrapText="1"/>
    </xf>
    <xf numFmtId="165" fontId="3" fillId="4" borderId="0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right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164" fontId="5" fillId="0" borderId="2" applyAlignment="1" pivotButton="0" quotePrefix="0" xfId="0">
      <alignment horizontal="right" vertical="center" wrapText="1"/>
    </xf>
    <xf numFmtId="165" fontId="6" fillId="0" borderId="2" applyAlignment="1" pivotButton="0" quotePrefix="0" xfId="0">
      <alignment horizontal="right" vertical="center" wrapText="1"/>
    </xf>
    <xf numFmtId="1" fontId="3" fillId="4" borderId="0" applyAlignment="1" pivotButton="0" quotePrefix="0" xfId="0">
      <alignment horizontal="center" vertical="center" wrapText="1"/>
    </xf>
    <xf numFmtId="1" fontId="5" fillId="0" borderId="2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left" vertical="center" wrapText="1"/>
    </xf>
    <xf numFmtId="1" fontId="4" fillId="0" borderId="0" applyAlignment="1" pivotButton="0" quotePrefix="0" xfId="0">
      <alignment horizontal="right" vertical="center" wrapText="1"/>
    </xf>
    <xf numFmtId="165" fontId="6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dxfs count="4">
    <dxf>
      <font>
        <color rgb="00059669"/>
      </font>
      <fill>
        <patternFill patternType="solid">
          <fgColor rgb="00D1FAE5"/>
        </patternFill>
      </fill>
    </dxf>
    <dxf>
      <font>
        <color rgb="009CA3AF"/>
      </font>
      <fill>
        <patternFill patternType="solid">
          <fgColor rgb="00F3F4F6"/>
        </patternFill>
      </fill>
    </dxf>
    <dxf>
      <font>
        <color rgb="00D97706"/>
      </font>
      <fill>
        <patternFill patternType="solid">
          <fgColor rgb="00FEF3C7"/>
        </patternFill>
      </fill>
    </dxf>
    <dxf>
      <font>
        <color rgb="00DC2626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010"/>
    <outlinePr summaryBelow="1" summaryRight="1"/>
    <pageSetUpPr/>
  </sheetPr>
  <dimension ref="A1:D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20" customWidth="1" min="4" max="4"/>
  </cols>
  <sheetData>
    <row r="1">
      <c r="A1" s="1" t="inlineStr">
        <is>
          <t>DRAW REQUEST PACKAGE</t>
        </is>
      </c>
    </row>
    <row r="3">
      <c r="A3" s="2" t="inlineStr">
        <is>
          <t>PROJECT INFORMATION</t>
        </is>
      </c>
      <c r="B3" s="3" t="n"/>
      <c r="C3" s="3" t="n"/>
      <c r="D3" s="3" t="n"/>
    </row>
    <row r="4">
      <c r="A4" s="4" t="inlineStr">
        <is>
          <t>Project Name</t>
        </is>
      </c>
      <c r="B4" s="5" t="inlineStr">
        <is>
          <t>The Madison at Riverside</t>
        </is>
      </c>
    </row>
    <row r="5">
      <c r="A5" s="4" t="inlineStr">
        <is>
          <t>Property Address</t>
        </is>
      </c>
      <c r="B5" s="5" t="inlineStr">
        <is>
          <t>2400 Riverside Drive, Detroit, MI 48207</t>
        </is>
      </c>
    </row>
    <row r="6">
      <c r="A6" s="4" t="inlineStr">
        <is>
          <t>Borrower</t>
        </is>
      </c>
      <c r="B6" s="5" t="inlineStr">
        <is>
          <t>Riverside Development Partners LLC</t>
        </is>
      </c>
    </row>
    <row r="7">
      <c r="A7" s="4" t="inlineStr">
        <is>
          <t>Lender</t>
        </is>
      </c>
      <c r="B7" s="5" t="inlineStr">
        <is>
          <t>First National Construction Lending</t>
        </is>
      </c>
    </row>
    <row r="8">
      <c r="A8" s="4" t="inlineStr">
        <is>
          <t>Loan Number</t>
        </is>
      </c>
      <c r="B8" s="5" t="inlineStr">
        <is>
          <t>CL-2025-0847</t>
        </is>
      </c>
    </row>
    <row r="9">
      <c r="A9" s="4" t="inlineStr">
        <is>
          <t>General Contractor</t>
        </is>
      </c>
      <c r="B9" s="5" t="inlineStr">
        <is>
          <t>Riverside Builders Inc</t>
        </is>
      </c>
    </row>
    <row r="10">
      <c r="A10" s="4" t="inlineStr">
        <is>
          <t>Architect</t>
        </is>
      </c>
      <c r="B10" s="5" t="inlineStr">
        <is>
          <t>Hamilton Design Associates</t>
        </is>
      </c>
    </row>
    <row r="11" ht="6" customHeight="1"/>
    <row r="12">
      <c r="A12" s="2" t="inlineStr">
        <is>
          <t>DRAW INFORMATION</t>
        </is>
      </c>
      <c r="B12" s="3" t="n"/>
      <c r="C12" s="3" t="n"/>
      <c r="D12" s="3" t="n"/>
    </row>
    <row r="13">
      <c r="A13" s="4" t="inlineStr">
        <is>
          <t>Draw Number</t>
        </is>
      </c>
      <c r="B13" s="6" t="n">
        <v>7</v>
      </c>
    </row>
    <row r="14">
      <c r="A14" s="4" t="inlineStr">
        <is>
          <t>Draw Date</t>
        </is>
      </c>
      <c r="B14" s="5" t="inlineStr">
        <is>
          <t>2026-04-01</t>
        </is>
      </c>
    </row>
    <row r="15">
      <c r="A15" s="4" t="inlineStr">
        <is>
          <t>Draw Period</t>
        </is>
      </c>
      <c r="B15" s="5" t="inlineStr">
        <is>
          <t>2026-03-01 to 2026-03-31</t>
        </is>
      </c>
    </row>
    <row r="16" ht="6" customHeight="1"/>
    <row r="17">
      <c r="A17" s="2" t="inlineStr">
        <is>
          <t>FINANCIAL SUMMARY</t>
        </is>
      </c>
      <c r="B17" s="3" t="n"/>
      <c r="C17" s="3" t="n"/>
      <c r="D17" s="3" t="n"/>
    </row>
    <row r="18">
      <c r="A18" s="4" t="inlineStr">
        <is>
          <t>Total Budget (Contract Sum to Date)</t>
        </is>
      </c>
      <c r="B18" s="7">
        <f>'G702'!B6</f>
        <v/>
      </c>
    </row>
    <row r="19">
      <c r="A19" s="4" t="inlineStr">
        <is>
          <t>Prior Draws (Previous Certificates)</t>
        </is>
      </c>
      <c r="B19" s="7">
        <f>'G702'!B12</f>
        <v/>
      </c>
    </row>
    <row r="20">
      <c r="A20" s="4" t="inlineStr">
        <is>
          <t>Current Draw Request</t>
        </is>
      </c>
      <c r="B20" s="8">
        <f>'G702'!B13</f>
        <v/>
      </c>
    </row>
    <row r="21">
      <c r="A21" s="4" t="inlineStr">
        <is>
          <t>Cumulative Funded</t>
        </is>
      </c>
      <c r="B21" s="7">
        <f>'G702'!B12+'G702'!B13</f>
        <v/>
      </c>
    </row>
    <row r="22">
      <c r="A22" s="4" t="inlineStr">
        <is>
          <t>Remaining Balance</t>
        </is>
      </c>
      <c r="B22" s="7">
        <f>'G702'!B14</f>
        <v/>
      </c>
    </row>
    <row r="23">
      <c r="A23" s="4" t="inlineStr">
        <is>
          <t>Total Retainage Held</t>
        </is>
      </c>
      <c r="B23" s="7">
        <f>'G702'!B10</f>
        <v/>
      </c>
    </row>
    <row r="24" ht="6" customHeight="1"/>
    <row r="25">
      <c r="A25" s="2" t="inlineStr">
        <is>
          <t>BORROWER CERTIFICATIONS</t>
        </is>
      </c>
      <c r="B25" s="3" t="n"/>
      <c r="C25" s="3" t="n"/>
      <c r="D25" s="3" t="n"/>
    </row>
    <row r="26" ht="30" customHeight="1">
      <c r="A26" s="9" t="inlineStr">
        <is>
          <t>1.</t>
        </is>
      </c>
      <c r="B26" s="4" t="inlineStr">
        <is>
          <t>All work for which payment is requested has been completed in accordance with the contract documents.</t>
        </is>
      </c>
    </row>
    <row r="27" ht="30" customHeight="1">
      <c r="A27" s="9" t="inlineStr">
        <is>
          <t>2.</t>
        </is>
      </c>
      <c r="B27" s="4" t="inlineStr">
        <is>
          <t>All amounts previously paid have been applied to costs of the work as indicated.</t>
        </is>
      </c>
    </row>
    <row r="28" ht="30" customHeight="1">
      <c r="A28" s="9" t="inlineStr">
        <is>
          <t>3.</t>
        </is>
      </c>
      <c r="B28" s="4" t="inlineStr">
        <is>
          <t>Current payment requested is now due under the terms of the loan agreement.</t>
        </is>
      </c>
    </row>
    <row r="29" ht="30" customHeight="1">
      <c r="A29" s="9" t="inlineStr">
        <is>
          <t>4.</t>
        </is>
      </c>
      <c r="B29" s="4" t="inlineStr">
        <is>
          <t>No liens, claims, or encumbrances exist against the property except as previously disclosed.</t>
        </is>
      </c>
    </row>
    <row r="30" ht="30" customHeight="1">
      <c r="A30" s="9" t="inlineStr">
        <is>
          <t>5.</t>
        </is>
      </c>
      <c r="B30" s="4" t="inlineStr">
        <is>
          <t>All subcontractors and suppliers have been paid from prior draws as required.</t>
        </is>
      </c>
    </row>
    <row r="31" ht="30" customHeight="1">
      <c r="A31" s="9" t="inlineStr">
        <is>
          <t>6.</t>
        </is>
      </c>
      <c r="B31" s="4" t="inlineStr">
        <is>
          <t>The work is proceeding on schedule and within budget, or variances have been disclosed.</t>
        </is>
      </c>
    </row>
    <row r="33">
      <c r="A33" s="4" t="inlineStr">
        <is>
          <t>Prepared By:</t>
        </is>
      </c>
      <c r="B33" s="10" t="inlineStr">
        <is>
          <t>1404 Labs</t>
        </is>
      </c>
    </row>
    <row r="34">
      <c r="A34" s="4" t="inlineStr">
        <is>
          <t>Date:</t>
        </is>
      </c>
      <c r="B34" s="10" t="inlineStr">
        <is>
          <t>2026-04-01</t>
        </is>
      </c>
    </row>
    <row r="36">
      <c r="A36" s="4" t="inlineStr">
        <is>
          <t>Borrower Signature:</t>
        </is>
      </c>
      <c r="B36" s="4" t="inlineStr">
        <is>
          <t>____________________________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11010"/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3" max="3"/>
  </cols>
  <sheetData>
    <row r="1">
      <c r="A1" s="1" t="inlineStr">
        <is>
          <t>APPLICATION AND CERTIFICATE FOR PAYMENT</t>
        </is>
      </c>
    </row>
    <row r="2">
      <c r="A2" s="11" t="inlineStr">
        <is>
          <t>(AIA Document G702)</t>
        </is>
      </c>
    </row>
    <row r="4">
      <c r="A4" s="12" t="inlineStr">
        <is>
          <t>1. ORIGINAL CONTRACT SUM</t>
        </is>
      </c>
      <c r="B4" s="13" t="n">
        <v>38500000</v>
      </c>
    </row>
    <row r="5">
      <c r="A5" s="12" t="inlineStr">
        <is>
          <t>2. Net Change by Change Orders</t>
        </is>
      </c>
      <c r="B5" s="7">
        <f>SUMIF('Change Order Log'!H2:H4,"approved",'Change Order Log'!E2:E4)</f>
        <v/>
      </c>
    </row>
    <row r="6">
      <c r="A6" s="12" t="inlineStr">
        <is>
          <t>3. CONTRACT SUM TO DATE (Line 1 + Line 2)</t>
        </is>
      </c>
      <c r="B6" s="14">
        <f>B4+B5</f>
        <v/>
      </c>
    </row>
    <row r="7">
      <c r="A7" s="12" t="inlineStr">
        <is>
          <t>4. TOTAL COMPLETED &amp; STORED TO DATE</t>
        </is>
      </c>
      <c r="B7" s="7">
        <f>'G703'!G28</f>
        <v/>
      </c>
    </row>
    <row r="8">
      <c r="A8" s="4" t="inlineStr">
        <is>
          <t>5a. Retainage on Completed Work (10%)</t>
        </is>
      </c>
      <c r="B8" s="7">
        <f>('G703'!D28+'G703'!E28)*0.1</f>
        <v/>
      </c>
    </row>
    <row r="9">
      <c r="A9" s="4" t="inlineStr">
        <is>
          <t>5b. Retainage on Stored Materials (10%)</t>
        </is>
      </c>
      <c r="B9" s="7">
        <f>'G703'!F28*0.1</f>
        <v/>
      </c>
    </row>
    <row r="10">
      <c r="A10" s="12" t="inlineStr">
        <is>
          <t>5c. Total Retainage (5a + 5b)</t>
        </is>
      </c>
      <c r="B10" s="7">
        <f>B8+B9</f>
        <v/>
      </c>
    </row>
    <row r="11">
      <c r="A11" s="12" t="inlineStr">
        <is>
          <t>6. TOTAL EARNED LESS RETAINAGE (Line 4 - Line 5c)</t>
        </is>
      </c>
      <c r="B11" s="14">
        <f>B7-B10</f>
        <v/>
      </c>
    </row>
    <row r="12">
      <c r="A12" s="12" t="inlineStr">
        <is>
          <t>7. LESS PREVIOUS CERTIFICATES FOR PAYMENT</t>
        </is>
      </c>
      <c r="B12" s="13" t="n">
        <v>17842500</v>
      </c>
    </row>
    <row r="13">
      <c r="A13" s="12" t="inlineStr">
        <is>
          <t>8. CURRENT PAYMENT DUE (Line 6 - Line 7)</t>
        </is>
      </c>
      <c r="B13" s="15">
        <f>B11-B12</f>
        <v/>
      </c>
    </row>
    <row r="14">
      <c r="A14" s="12" t="inlineStr">
        <is>
          <t>9. BALANCE TO FINISH INCLUDING RETAINAGE (Line 3 - Line 6)</t>
        </is>
      </c>
      <c r="B14" s="7">
        <f>B6-B11</f>
        <v/>
      </c>
    </row>
    <row r="16">
      <c r="A16" s="11" t="inlineStr">
        <is>
          <t>Retainage Percentage</t>
        </is>
      </c>
      <c r="B16" s="16" t="n">
        <v>0.1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11010"/>
    <outlinePr summaryBelow="1" summaryRight="1"/>
    <pageSetUpPr/>
  </sheetPr>
  <dimension ref="A1:I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16" customWidth="1" min="9" max="9"/>
  </cols>
  <sheetData>
    <row r="1">
      <c r="A1" s="17" t="inlineStr">
        <is>
          <t>A
Item No.</t>
        </is>
      </c>
      <c r="B1" s="17" t="inlineStr">
        <is>
          <t>B
Description of Work</t>
        </is>
      </c>
      <c r="C1" s="17" t="inlineStr">
        <is>
          <t>C
Scheduled
Value</t>
        </is>
      </c>
      <c r="D1" s="17" t="inlineStr">
        <is>
          <t>D
Work Completed
Previous</t>
        </is>
      </c>
      <c r="E1" s="17" t="inlineStr">
        <is>
          <t>E
Work Completed
This Period</t>
        </is>
      </c>
      <c r="F1" s="17" t="inlineStr">
        <is>
          <t>F
Materials
Stored</t>
        </is>
      </c>
      <c r="G1" s="17" t="inlineStr">
        <is>
          <t>G
Total Completed
&amp; Stored</t>
        </is>
      </c>
      <c r="H1" s="17" t="inlineStr">
        <is>
          <t>H
% Complete</t>
        </is>
      </c>
      <c r="I1" s="17" t="inlineStr">
        <is>
          <t>I
Balance
to Finish</t>
        </is>
      </c>
    </row>
    <row r="2">
      <c r="A2" s="2" t="inlineStr">
        <is>
          <t>HARD COSTS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18" t="inlineStr">
        <is>
          <t>02000</t>
        </is>
      </c>
      <c r="B3" s="5" t="inlineStr">
        <is>
          <t>Site Work &amp; Earthwork</t>
        </is>
      </c>
      <c r="C3" s="13" t="n">
        <v>2850000</v>
      </c>
      <c r="D3" s="13" t="n">
        <v>2850000</v>
      </c>
      <c r="E3" s="13" t="n">
        <v>0</v>
      </c>
      <c r="F3" s="13" t="n">
        <v>0</v>
      </c>
      <c r="G3" s="7">
        <f>D3+E3+F3</f>
        <v/>
      </c>
      <c r="H3" s="19">
        <f>IF(C3=0,0,G3/C3)</f>
        <v/>
      </c>
      <c r="I3" s="7">
        <f>C3-G3</f>
        <v/>
      </c>
    </row>
    <row r="4">
      <c r="A4" s="18" t="inlineStr">
        <is>
          <t>03000</t>
        </is>
      </c>
      <c r="B4" s="5" t="inlineStr">
        <is>
          <t>Concrete &amp; Foundations</t>
        </is>
      </c>
      <c r="C4" s="13" t="n">
        <v>5200000</v>
      </c>
      <c r="D4" s="13" t="n">
        <v>5200000</v>
      </c>
      <c r="E4" s="13" t="n">
        <v>0</v>
      </c>
      <c r="F4" s="13" t="n">
        <v>0</v>
      </c>
      <c r="G4" s="7">
        <f>D4+E4+F4</f>
        <v/>
      </c>
      <c r="H4" s="19">
        <f>IF(C4=0,0,G4/C4)</f>
        <v/>
      </c>
      <c r="I4" s="7">
        <f>C4-G4</f>
        <v/>
      </c>
    </row>
    <row r="5">
      <c r="A5" s="18" t="inlineStr">
        <is>
          <t>05000</t>
        </is>
      </c>
      <c r="B5" s="5" t="inlineStr">
        <is>
          <t>Structural Steel &amp; Metals</t>
        </is>
      </c>
      <c r="C5" s="13" t="n">
        <v>4100000</v>
      </c>
      <c r="D5" s="13" t="n">
        <v>3690000</v>
      </c>
      <c r="E5" s="13" t="n">
        <v>410000</v>
      </c>
      <c r="F5" s="13" t="n">
        <v>0</v>
      </c>
      <c r="G5" s="7">
        <f>D5+E5+F5</f>
        <v/>
      </c>
      <c r="H5" s="19">
        <f>IF(C5=0,0,G5/C5)</f>
        <v/>
      </c>
      <c r="I5" s="7">
        <f>C5-G5</f>
        <v/>
      </c>
    </row>
    <row r="6">
      <c r="A6" s="18" t="inlineStr">
        <is>
          <t>06000</t>
        </is>
      </c>
      <c r="B6" s="5" t="inlineStr">
        <is>
          <t>Rough Carpentry &amp; Framing</t>
        </is>
      </c>
      <c r="C6" s="13" t="n">
        <v>3800000</v>
      </c>
      <c r="D6" s="13" t="n">
        <v>2280000</v>
      </c>
      <c r="E6" s="13" t="n">
        <v>570000</v>
      </c>
      <c r="F6" s="13" t="n">
        <v>190000</v>
      </c>
      <c r="G6" s="7">
        <f>D6+E6+F6</f>
        <v/>
      </c>
      <c r="H6" s="19">
        <f>IF(C6=0,0,G6/C6)</f>
        <v/>
      </c>
      <c r="I6" s="7">
        <f>C6-G6</f>
        <v/>
      </c>
    </row>
    <row r="7">
      <c r="A7" s="18" t="inlineStr">
        <is>
          <t>07000</t>
        </is>
      </c>
      <c r="B7" s="5" t="inlineStr">
        <is>
          <t>Thermal &amp; Moisture Protection</t>
        </is>
      </c>
      <c r="C7" s="13" t="n">
        <v>2200000</v>
      </c>
      <c r="D7" s="13" t="n">
        <v>880000</v>
      </c>
      <c r="E7" s="13" t="n">
        <v>440000</v>
      </c>
      <c r="F7" s="13" t="n">
        <v>110000</v>
      </c>
      <c r="G7" s="7">
        <f>D7+E7+F7</f>
        <v/>
      </c>
      <c r="H7" s="19">
        <f>IF(C7=0,0,G7/C7)</f>
        <v/>
      </c>
      <c r="I7" s="7">
        <f>C7-G7</f>
        <v/>
      </c>
    </row>
    <row r="8">
      <c r="A8" s="18" t="inlineStr">
        <is>
          <t>08000</t>
        </is>
      </c>
      <c r="B8" s="5" t="inlineStr">
        <is>
          <t>Doors, Windows &amp; Glazing</t>
        </is>
      </c>
      <c r="C8" s="13" t="n">
        <v>2600000</v>
      </c>
      <c r="D8" s="13" t="n">
        <v>520000</v>
      </c>
      <c r="E8" s="13" t="n">
        <v>390000</v>
      </c>
      <c r="F8" s="13" t="n">
        <v>260000</v>
      </c>
      <c r="G8" s="7">
        <f>D8+E8+F8</f>
        <v/>
      </c>
      <c r="H8" s="19">
        <f>IF(C8=0,0,G8/C8)</f>
        <v/>
      </c>
      <c r="I8" s="7">
        <f>C8-G8</f>
        <v/>
      </c>
    </row>
    <row r="9">
      <c r="A9" s="18" t="inlineStr">
        <is>
          <t>09000</t>
        </is>
      </c>
      <c r="B9" s="5" t="inlineStr">
        <is>
          <t>Finishes (Drywall, Paint, Flooring, Tile)</t>
        </is>
      </c>
      <c r="C9" s="13" t="n">
        <v>4500000</v>
      </c>
      <c r="D9" s="13" t="n">
        <v>450000</v>
      </c>
      <c r="E9" s="13" t="n">
        <v>675000</v>
      </c>
      <c r="F9" s="13" t="n">
        <v>225000</v>
      </c>
      <c r="G9" s="7">
        <f>D9+E9+F9</f>
        <v/>
      </c>
      <c r="H9" s="19">
        <f>IF(C9=0,0,G9/C9)</f>
        <v/>
      </c>
      <c r="I9" s="7">
        <f>C9-G9</f>
        <v/>
      </c>
    </row>
    <row r="10">
      <c r="A10" s="18" t="inlineStr">
        <is>
          <t>15000</t>
        </is>
      </c>
      <c r="B10" s="5" t="inlineStr">
        <is>
          <t>Mechanical / HVAC</t>
        </is>
      </c>
      <c r="C10" s="13" t="n">
        <v>3400000</v>
      </c>
      <c r="D10" s="13" t="n">
        <v>1360000</v>
      </c>
      <c r="E10" s="13" t="n">
        <v>510000</v>
      </c>
      <c r="F10" s="13" t="n">
        <v>170000</v>
      </c>
      <c r="G10" s="7">
        <f>D10+E10+F10</f>
        <v/>
      </c>
      <c r="H10" s="19">
        <f>IF(C10=0,0,G10/C10)</f>
        <v/>
      </c>
      <c r="I10" s="7">
        <f>C10-G10</f>
        <v/>
      </c>
    </row>
    <row r="11">
      <c r="A11" s="18" t="inlineStr">
        <is>
          <t>15500</t>
        </is>
      </c>
      <c r="B11" s="5" t="inlineStr">
        <is>
          <t>Plumbing</t>
        </is>
      </c>
      <c r="C11" s="13" t="n">
        <v>2100000</v>
      </c>
      <c r="D11" s="13" t="n">
        <v>1050000</v>
      </c>
      <c r="E11" s="13" t="n">
        <v>315000</v>
      </c>
      <c r="F11" s="13" t="n">
        <v>0</v>
      </c>
      <c r="G11" s="7">
        <f>D11+E11+F11</f>
        <v/>
      </c>
      <c r="H11" s="19">
        <f>IF(C11=0,0,G11/C11)</f>
        <v/>
      </c>
      <c r="I11" s="7">
        <f>C11-G11</f>
        <v/>
      </c>
    </row>
    <row r="12">
      <c r="A12" s="18" t="inlineStr">
        <is>
          <t>16000</t>
        </is>
      </c>
      <c r="B12" s="5" t="inlineStr">
        <is>
          <t>Electrical</t>
        </is>
      </c>
      <c r="C12" s="13" t="n">
        <v>2800000</v>
      </c>
      <c r="D12" s="13" t="n">
        <v>1120000</v>
      </c>
      <c r="E12" s="13" t="n">
        <v>420000</v>
      </c>
      <c r="F12" s="13" t="n">
        <v>140000</v>
      </c>
      <c r="G12" s="7">
        <f>D12+E12+F12</f>
        <v/>
      </c>
      <c r="H12" s="19">
        <f>IF(C12=0,0,G12/C12)</f>
        <v/>
      </c>
      <c r="I12" s="7">
        <f>C12-G12</f>
        <v/>
      </c>
    </row>
    <row r="13">
      <c r="A13" s="18" t="inlineStr">
        <is>
          <t>23000</t>
        </is>
      </c>
      <c r="B13" s="5" t="inlineStr">
        <is>
          <t>Fire Protection</t>
        </is>
      </c>
      <c r="C13" s="13" t="n">
        <v>950000</v>
      </c>
      <c r="D13" s="13" t="n">
        <v>285000</v>
      </c>
      <c r="E13" s="13" t="n">
        <v>142500</v>
      </c>
      <c r="F13" s="13" t="n">
        <v>0</v>
      </c>
      <c r="G13" s="7">
        <f>D13+E13+F13</f>
        <v/>
      </c>
      <c r="H13" s="19">
        <f>IF(C13=0,0,G13/C13)</f>
        <v/>
      </c>
      <c r="I13" s="7">
        <f>C13-G13</f>
        <v/>
      </c>
    </row>
    <row r="14">
      <c r="A14" s="18" t="inlineStr">
        <is>
          <t>32000</t>
        </is>
      </c>
      <c r="B14" s="5" t="inlineStr">
        <is>
          <t>Exterior Improvements &amp; Landscaping</t>
        </is>
      </c>
      <c r="C14" s="13" t="n">
        <v>1200000</v>
      </c>
      <c r="D14" s="13" t="n">
        <v>0</v>
      </c>
      <c r="E14" s="13" t="n">
        <v>0</v>
      </c>
      <c r="F14" s="13" t="n">
        <v>0</v>
      </c>
      <c r="G14" s="7">
        <f>D14+E14+F14</f>
        <v/>
      </c>
      <c r="H14" s="19">
        <f>IF(C14=0,0,G14/C14)</f>
        <v/>
      </c>
      <c r="I14" s="7">
        <f>C14-G14</f>
        <v/>
      </c>
    </row>
    <row r="15">
      <c r="A15" s="2" t="inlineStr">
        <is>
          <t>SOFT COSTS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18" t="inlineStr">
        <is>
          <t>S-01</t>
        </is>
      </c>
      <c r="B16" s="5" t="inlineStr">
        <is>
          <t>Architecture &amp; Engineering</t>
        </is>
      </c>
      <c r="C16" s="13" t="n">
        <v>1800000</v>
      </c>
      <c r="D16" s="13" t="n">
        <v>1620000</v>
      </c>
      <c r="E16" s="13" t="n">
        <v>90000</v>
      </c>
      <c r="F16" s="13" t="n">
        <v>0</v>
      </c>
      <c r="G16" s="7">
        <f>D16+E16+F16</f>
        <v/>
      </c>
      <c r="H16" s="19">
        <f>IF(C16=0,0,G16/C16)</f>
        <v/>
      </c>
      <c r="I16" s="7">
        <f>C16-G16</f>
        <v/>
      </c>
    </row>
    <row r="17">
      <c r="A17" s="18" t="inlineStr">
        <is>
          <t>S-02</t>
        </is>
      </c>
      <c r="B17" s="5" t="inlineStr">
        <is>
          <t>Permits &amp; Impact Fees</t>
        </is>
      </c>
      <c r="C17" s="13" t="n">
        <v>950000</v>
      </c>
      <c r="D17" s="13" t="n">
        <v>950000</v>
      </c>
      <c r="E17" s="13" t="n">
        <v>0</v>
      </c>
      <c r="F17" s="13" t="n">
        <v>0</v>
      </c>
      <c r="G17" s="7">
        <f>D17+E17+F17</f>
        <v/>
      </c>
      <c r="H17" s="19">
        <f>IF(C17=0,0,G17/C17)</f>
        <v/>
      </c>
      <c r="I17" s="7">
        <f>C17-G17</f>
        <v/>
      </c>
    </row>
    <row r="18">
      <c r="A18" s="18" t="inlineStr">
        <is>
          <t>S-03</t>
        </is>
      </c>
      <c r="B18" s="5" t="inlineStr">
        <is>
          <t>Legal &amp; Title</t>
        </is>
      </c>
      <c r="C18" s="13" t="n">
        <v>350000</v>
      </c>
      <c r="D18" s="13" t="n">
        <v>280000</v>
      </c>
      <c r="E18" s="13" t="n">
        <v>35000</v>
      </c>
      <c r="F18" s="13" t="n">
        <v>0</v>
      </c>
      <c r="G18" s="7">
        <f>D18+E18+F18</f>
        <v/>
      </c>
      <c r="H18" s="19">
        <f>IF(C18=0,0,G18/C18)</f>
        <v/>
      </c>
      <c r="I18" s="7">
        <f>C18-G18</f>
        <v/>
      </c>
    </row>
    <row r="19">
      <c r="A19" s="18" t="inlineStr">
        <is>
          <t>S-04</t>
        </is>
      </c>
      <c r="B19" s="5" t="inlineStr">
        <is>
          <t>Builder's Risk Insurance</t>
        </is>
      </c>
      <c r="C19" s="13" t="n">
        <v>425000</v>
      </c>
      <c r="D19" s="13" t="n">
        <v>297500</v>
      </c>
      <c r="E19" s="13" t="n">
        <v>42500</v>
      </c>
      <c r="F19" s="13" t="n">
        <v>0</v>
      </c>
      <c r="G19" s="7">
        <f>D19+E19+F19</f>
        <v/>
      </c>
      <c r="H19" s="19">
        <f>IF(C19=0,0,G19/C19)</f>
        <v/>
      </c>
      <c r="I19" s="7">
        <f>C19-G19</f>
        <v/>
      </c>
    </row>
    <row r="20">
      <c r="A20" s="2" t="inlineStr">
        <is>
          <t>FINANCING COSTS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s="18" t="inlineStr">
        <is>
          <t>F-01</t>
        </is>
      </c>
      <c r="B21" s="5" t="inlineStr">
        <is>
          <t>Loan Origination &amp; Fees</t>
        </is>
      </c>
      <c r="C21" s="13" t="n">
        <v>575000</v>
      </c>
      <c r="D21" s="13" t="n">
        <v>575000</v>
      </c>
      <c r="E21" s="13" t="n">
        <v>0</v>
      </c>
      <c r="F21" s="13" t="n">
        <v>0</v>
      </c>
      <c r="G21" s="7">
        <f>D21+E21+F21</f>
        <v/>
      </c>
      <c r="H21" s="19">
        <f>IF(C21=0,0,G21/C21)</f>
        <v/>
      </c>
      <c r="I21" s="7">
        <f>C21-G21</f>
        <v/>
      </c>
    </row>
    <row r="22">
      <c r="A22" s="18" t="inlineStr">
        <is>
          <t>F-02</t>
        </is>
      </c>
      <c r="B22" s="5" t="inlineStr">
        <is>
          <t>Capitalized Interest</t>
        </is>
      </c>
      <c r="C22" s="13" t="n">
        <v>1700000</v>
      </c>
      <c r="D22" s="13" t="n">
        <v>1020000</v>
      </c>
      <c r="E22" s="13" t="n">
        <v>121500</v>
      </c>
      <c r="F22" s="13" t="n">
        <v>0</v>
      </c>
      <c r="G22" s="7">
        <f>D22+E22+F22</f>
        <v/>
      </c>
      <c r="H22" s="19">
        <f>IF(C22=0,0,G22/C22)</f>
        <v/>
      </c>
      <c r="I22" s="7">
        <f>C22-G22</f>
        <v/>
      </c>
    </row>
    <row r="23" ht="6" customHeight="1"/>
    <row r="24">
      <c r="A24" s="20" t="inlineStr"/>
      <c r="B24" s="21" t="inlineStr">
        <is>
          <t>HARD COSTS SUBTOTAL</t>
        </is>
      </c>
      <c r="C24" s="14">
        <f>C3+C4+C5+C6+C7+C8+C9+C10+C11+C12+C13+C14</f>
        <v/>
      </c>
      <c r="D24" s="14">
        <f>D3+D4+D5+D6+D7+D8+D9+D10+D11+D12+D13+D14</f>
        <v/>
      </c>
      <c r="E24" s="14">
        <f>E3+E4+E5+E6+E7+E8+E9+E10+E11+E12+E13+E14</f>
        <v/>
      </c>
      <c r="F24" s="14">
        <f>F3+F4+F5+F6+F7+F8+F9+F10+F11+F12+F13+F14</f>
        <v/>
      </c>
      <c r="G24" s="14">
        <f>G3+G4+G5+G6+G7+G8+G9+G10+G11+G12+G13+G14</f>
        <v/>
      </c>
      <c r="H24" s="22">
        <f>IF(C24=0,0,G24/C24)</f>
        <v/>
      </c>
      <c r="I24" s="14">
        <f>I3+I4+I5+I6+I7+I8+I9+I10+I11+I12+I13+I14</f>
        <v/>
      </c>
    </row>
    <row r="25">
      <c r="A25" s="20" t="inlineStr"/>
      <c r="B25" s="21" t="inlineStr">
        <is>
          <t>SOFT COSTS SUBTOTAL</t>
        </is>
      </c>
      <c r="C25" s="14">
        <f>C16+C17+C18+C19</f>
        <v/>
      </c>
      <c r="D25" s="14">
        <f>D16+D17+D18+D19</f>
        <v/>
      </c>
      <c r="E25" s="14">
        <f>E16+E17+E18+E19</f>
        <v/>
      </c>
      <c r="F25" s="14">
        <f>F16+F17+F18+F19</f>
        <v/>
      </c>
      <c r="G25" s="14">
        <f>G16+G17+G18+G19</f>
        <v/>
      </c>
      <c r="H25" s="22">
        <f>IF(C25=0,0,G25/C25)</f>
        <v/>
      </c>
      <c r="I25" s="14">
        <f>I16+I17+I18+I19</f>
        <v/>
      </c>
    </row>
    <row r="26">
      <c r="A26" s="20" t="inlineStr"/>
      <c r="B26" s="21" t="inlineStr">
        <is>
          <t>FINANCING COSTS SUBTOTAL</t>
        </is>
      </c>
      <c r="C26" s="14">
        <f>C21+C22</f>
        <v/>
      </c>
      <c r="D26" s="14">
        <f>D21+D22</f>
        <v/>
      </c>
      <c r="E26" s="14">
        <f>E21+E22</f>
        <v/>
      </c>
      <c r="F26" s="14">
        <f>F21+F22</f>
        <v/>
      </c>
      <c r="G26" s="14">
        <f>G21+G22</f>
        <v/>
      </c>
      <c r="H26" s="22">
        <f>IF(C26=0,0,G26/C26)</f>
        <v/>
      </c>
      <c r="I26" s="14">
        <f>I21+I22</f>
        <v/>
      </c>
    </row>
    <row r="27" ht="6" customHeight="1"/>
    <row r="28">
      <c r="A28" s="23" t="inlineStr"/>
      <c r="B28" s="24" t="inlineStr">
        <is>
          <t>GRAND TOTAL</t>
        </is>
      </c>
      <c r="C28" s="25">
        <f>C24+C25+C26</f>
        <v/>
      </c>
      <c r="D28" s="25">
        <f>D24+D25+D26</f>
        <v/>
      </c>
      <c r="E28" s="25">
        <f>E24+E25+E26</f>
        <v/>
      </c>
      <c r="F28" s="25">
        <f>F24+F25+F26</f>
        <v/>
      </c>
      <c r="G28" s="25">
        <f>G24+G25+G26</f>
        <v/>
      </c>
      <c r="H28" s="26">
        <f>IF(C28=0,0,G28/C28)</f>
        <v/>
      </c>
      <c r="I28" s="25">
        <f>I24+I25+I26</f>
        <v/>
      </c>
    </row>
  </sheetData>
  <conditionalFormatting sqref="H2:H22">
    <cfRule type="cellIs" priority="1" operator="greaterThanOrEqual" dxfId="0">
      <formula>0.999</formula>
    </cfRule>
    <cfRule type="cellIs" priority="2" operator="equal" dxfId="1">
      <formula>0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11010"/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40" customWidth="1" min="4" max="4"/>
    <col width="16" customWidth="1" min="5" max="5"/>
    <col width="16" customWidth="1" min="6" max="6"/>
    <col width="14" customWidth="1" min="7" max="7"/>
    <col width="12" customWidth="1" min="8" max="8"/>
  </cols>
  <sheetData>
    <row r="1">
      <c r="A1" s="17" t="inlineStr">
        <is>
          <t>CO #</t>
        </is>
      </c>
      <c r="B1" s="17" t="inlineStr">
        <is>
          <t>Date Submitted</t>
        </is>
      </c>
      <c r="C1" s="17" t="inlineStr">
        <is>
          <t>Date Approved</t>
        </is>
      </c>
      <c r="D1" s="17" t="inlineStr">
        <is>
          <t>Description</t>
        </is>
      </c>
      <c r="E1" s="17" t="inlineStr">
        <is>
          <t>Cost Impact
(Add/Deduct)</t>
        </is>
      </c>
      <c r="F1" s="17" t="inlineStr">
        <is>
          <t>Net Impact
(Running)</t>
        </is>
      </c>
      <c r="G1" s="17" t="inlineStr">
        <is>
          <t>Schedule Impact
(Days)</t>
        </is>
      </c>
      <c r="H1" s="17" t="inlineStr">
        <is>
          <t>Status</t>
        </is>
      </c>
    </row>
    <row r="2">
      <c r="A2" s="27" t="n">
        <v>1</v>
      </c>
      <c r="B2" s="18" t="inlineStr">
        <is>
          <t>2025-09-15</t>
        </is>
      </c>
      <c r="C2" s="18" t="inlineStr">
        <is>
          <t>2025-09-28</t>
        </is>
      </c>
      <c r="D2" s="5" t="inlineStr">
        <is>
          <t>Upgraded elevator cab finishes per owner request</t>
        </is>
      </c>
      <c r="E2" s="13" t="n">
        <v>185000</v>
      </c>
      <c r="F2" s="7">
        <f>E2</f>
        <v/>
      </c>
      <c r="G2" s="27" t="n">
        <v>0</v>
      </c>
      <c r="H2" s="18" t="inlineStr">
        <is>
          <t>approved</t>
        </is>
      </c>
    </row>
    <row r="3">
      <c r="A3" s="27" t="n">
        <v>2</v>
      </c>
      <c r="B3" s="18" t="inlineStr">
        <is>
          <t>2025-11-02</t>
        </is>
      </c>
      <c r="C3" s="18" t="inlineStr">
        <is>
          <t>2025-11-18</t>
        </is>
      </c>
      <c r="D3" s="5" t="inlineStr">
        <is>
          <t>Rock removal — unforeseen subsurface conditions at Building C</t>
        </is>
      </c>
      <c r="E3" s="13" t="n">
        <v>342000</v>
      </c>
      <c r="F3" s="7">
        <f>F2+E3</f>
        <v/>
      </c>
      <c r="G3" s="27" t="n">
        <v>12</v>
      </c>
      <c r="H3" s="18" t="inlineStr">
        <is>
          <t>approved</t>
        </is>
      </c>
    </row>
    <row r="4">
      <c r="A4" s="27" t="n">
        <v>3</v>
      </c>
      <c r="B4" s="18" t="inlineStr">
        <is>
          <t>2026-01-20</t>
        </is>
      </c>
      <c r="C4" s="18" t="inlineStr">
        <is>
          <t>2026-02-05</t>
        </is>
      </c>
      <c r="D4" s="5" t="inlineStr">
        <is>
          <t>Structural steel reinforcement per revised wind load calcs</t>
        </is>
      </c>
      <c r="E4" s="13" t="n">
        <v>128000</v>
      </c>
      <c r="F4" s="7">
        <f>F3+E4</f>
        <v/>
      </c>
      <c r="G4" s="27" t="n">
        <v>5</v>
      </c>
      <c r="H4" s="18" t="inlineStr">
        <is>
          <t>approved</t>
        </is>
      </c>
    </row>
    <row r="5" ht="6" customHeight="1"/>
    <row r="6">
      <c r="B6" s="24" t="inlineStr">
        <is>
          <t>TOTALS</t>
        </is>
      </c>
      <c r="E6" s="25">
        <f>SUM(E2:E4)</f>
        <v/>
      </c>
      <c r="F6" s="25">
        <f>F4</f>
        <v/>
      </c>
      <c r="G6" s="28">
        <f>SUM(G2:G4)</f>
        <v/>
      </c>
    </row>
  </sheetData>
  <conditionalFormatting sqref="H2:H4">
    <cfRule type="cellIs" priority="1" operator="equal" dxfId="0">
      <formula>"approved"</formula>
    </cfRule>
    <cfRule type="cellIs" priority="2" operator="equal" dxfId="2">
      <formula>"pending"</formula>
    </cfRule>
    <cfRule type="cellIs" priority="3" operator="equal" dxfId="3">
      <formula>"rejected"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11010"/>
    <outlinePr summaryBelow="1" summaryRight="1"/>
    <pageSetUpPr/>
  </sheetPr>
  <dimension ref="A1:J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</cols>
  <sheetData>
    <row r="1">
      <c r="A1" s="17" t="inlineStr">
        <is>
          <t>Line Item</t>
        </is>
      </c>
      <c r="B1" s="17" t="inlineStr">
        <is>
          <t>Original
Budget</t>
        </is>
      </c>
      <c r="C1" s="17" t="inlineStr">
        <is>
          <t>Approved
COs</t>
        </is>
      </c>
      <c r="D1" s="17" t="inlineStr">
        <is>
          <t>Current
Budget</t>
        </is>
      </c>
      <c r="E1" s="17" t="inlineStr">
        <is>
          <t>Prior
Draws</t>
        </is>
      </c>
      <c r="F1" s="17" t="inlineStr">
        <is>
          <t>Current
Draw</t>
        </is>
      </c>
      <c r="G1" s="17" t="inlineStr">
        <is>
          <t>Total
Funded</t>
        </is>
      </c>
      <c r="H1" s="17" t="inlineStr">
        <is>
          <t>Remaining</t>
        </is>
      </c>
      <c r="I1" s="17" t="inlineStr">
        <is>
          <t>Projected
Final Cost</t>
        </is>
      </c>
      <c r="J1" s="17" t="inlineStr">
        <is>
          <t>Variance</t>
        </is>
      </c>
    </row>
    <row r="2">
      <c r="A2" s="2" t="inlineStr">
        <is>
          <t>HARD COSTS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Site Work &amp; Earthwork</t>
        </is>
      </c>
      <c r="B3" s="13" t="n">
        <v>2850000</v>
      </c>
      <c r="C3" s="13" t="n">
        <v>0</v>
      </c>
      <c r="D3" s="7">
        <f>B3+C3</f>
        <v/>
      </c>
      <c r="E3" s="13" t="n">
        <v>2850000</v>
      </c>
      <c r="F3" s="13" t="n">
        <v>0</v>
      </c>
      <c r="G3" s="7">
        <f>E3+F3</f>
        <v/>
      </c>
      <c r="H3" s="7">
        <f>D3-G3</f>
        <v/>
      </c>
      <c r="I3" s="13">
        <f>D3</f>
        <v/>
      </c>
      <c r="J3" s="7">
        <f>I3-D3</f>
        <v/>
      </c>
    </row>
    <row r="4">
      <c r="A4" s="4" t="inlineStr">
        <is>
          <t>Concrete &amp; Foundations</t>
        </is>
      </c>
      <c r="B4" s="13" t="n">
        <v>5200000</v>
      </c>
      <c r="C4" s="13" t="n">
        <v>0</v>
      </c>
      <c r="D4" s="7">
        <f>B4+C4</f>
        <v/>
      </c>
      <c r="E4" s="13" t="n">
        <v>5200000</v>
      </c>
      <c r="F4" s="13" t="n">
        <v>0</v>
      </c>
      <c r="G4" s="7">
        <f>E4+F4</f>
        <v/>
      </c>
      <c r="H4" s="7">
        <f>D4-G4</f>
        <v/>
      </c>
      <c r="I4" s="13">
        <f>D4</f>
        <v/>
      </c>
      <c r="J4" s="7">
        <f>I4-D4</f>
        <v/>
      </c>
    </row>
    <row r="5">
      <c r="A5" s="4" t="inlineStr">
        <is>
          <t>Structural Steel &amp; Metals</t>
        </is>
      </c>
      <c r="B5" s="13" t="n">
        <v>4100000</v>
      </c>
      <c r="C5" s="13" t="n">
        <v>0</v>
      </c>
      <c r="D5" s="7">
        <f>B5+C5</f>
        <v/>
      </c>
      <c r="E5" s="13" t="n">
        <v>3690000</v>
      </c>
      <c r="F5" s="13" t="n">
        <v>410000</v>
      </c>
      <c r="G5" s="7">
        <f>E5+F5</f>
        <v/>
      </c>
      <c r="H5" s="7">
        <f>D5-G5</f>
        <v/>
      </c>
      <c r="I5" s="13">
        <f>D5</f>
        <v/>
      </c>
      <c r="J5" s="7">
        <f>I5-D5</f>
        <v/>
      </c>
    </row>
    <row r="6">
      <c r="A6" s="4" t="inlineStr">
        <is>
          <t>Rough Carpentry &amp; Framing</t>
        </is>
      </c>
      <c r="B6" s="13" t="n">
        <v>3800000</v>
      </c>
      <c r="C6" s="13" t="n">
        <v>0</v>
      </c>
      <c r="D6" s="7">
        <f>B6+C6</f>
        <v/>
      </c>
      <c r="E6" s="13" t="n">
        <v>2280000</v>
      </c>
      <c r="F6" s="13" t="n">
        <v>760000</v>
      </c>
      <c r="G6" s="7">
        <f>E6+F6</f>
        <v/>
      </c>
      <c r="H6" s="7">
        <f>D6-G6</f>
        <v/>
      </c>
      <c r="I6" s="13">
        <f>D6</f>
        <v/>
      </c>
      <c r="J6" s="7">
        <f>I6-D6</f>
        <v/>
      </c>
    </row>
    <row r="7">
      <c r="A7" s="4" t="inlineStr">
        <is>
          <t>Thermal &amp; Moisture Protection</t>
        </is>
      </c>
      <c r="B7" s="13" t="n">
        <v>2200000</v>
      </c>
      <c r="C7" s="13" t="n">
        <v>0</v>
      </c>
      <c r="D7" s="7">
        <f>B7+C7</f>
        <v/>
      </c>
      <c r="E7" s="13" t="n">
        <v>880000</v>
      </c>
      <c r="F7" s="13" t="n">
        <v>550000</v>
      </c>
      <c r="G7" s="7">
        <f>E7+F7</f>
        <v/>
      </c>
      <c r="H7" s="7">
        <f>D7-G7</f>
        <v/>
      </c>
      <c r="I7" s="13">
        <f>D7</f>
        <v/>
      </c>
      <c r="J7" s="7">
        <f>I7-D7</f>
        <v/>
      </c>
    </row>
    <row r="8">
      <c r="A8" s="4" t="inlineStr">
        <is>
          <t>Doors, Windows &amp; Glazing</t>
        </is>
      </c>
      <c r="B8" s="13" t="n">
        <v>2600000</v>
      </c>
      <c r="C8" s="13" t="n">
        <v>0</v>
      </c>
      <c r="D8" s="7">
        <f>B8+C8</f>
        <v/>
      </c>
      <c r="E8" s="13" t="n">
        <v>520000</v>
      </c>
      <c r="F8" s="13" t="n">
        <v>650000</v>
      </c>
      <c r="G8" s="7">
        <f>E8+F8</f>
        <v/>
      </c>
      <c r="H8" s="7">
        <f>D8-G8</f>
        <v/>
      </c>
      <c r="I8" s="13">
        <f>D8</f>
        <v/>
      </c>
      <c r="J8" s="7">
        <f>I8-D8</f>
        <v/>
      </c>
    </row>
    <row r="9">
      <c r="A9" s="4" t="inlineStr">
        <is>
          <t>Finishes (Drywall, Paint, Flooring, Tile)</t>
        </is>
      </c>
      <c r="B9" s="13" t="n">
        <v>4500000</v>
      </c>
      <c r="C9" s="13" t="n">
        <v>0</v>
      </c>
      <c r="D9" s="7">
        <f>B9+C9</f>
        <v/>
      </c>
      <c r="E9" s="13" t="n">
        <v>450000</v>
      </c>
      <c r="F9" s="13" t="n">
        <v>900000</v>
      </c>
      <c r="G9" s="7">
        <f>E9+F9</f>
        <v/>
      </c>
      <c r="H9" s="7">
        <f>D9-G9</f>
        <v/>
      </c>
      <c r="I9" s="13">
        <f>D9</f>
        <v/>
      </c>
      <c r="J9" s="7">
        <f>I9-D9</f>
        <v/>
      </c>
    </row>
    <row r="10">
      <c r="A10" s="4" t="inlineStr">
        <is>
          <t>Mechanical / HVAC</t>
        </is>
      </c>
      <c r="B10" s="13" t="n">
        <v>3400000</v>
      </c>
      <c r="C10" s="13" t="n">
        <v>0</v>
      </c>
      <c r="D10" s="7">
        <f>B10+C10</f>
        <v/>
      </c>
      <c r="E10" s="13" t="n">
        <v>1360000</v>
      </c>
      <c r="F10" s="13" t="n">
        <v>680000</v>
      </c>
      <c r="G10" s="7">
        <f>E10+F10</f>
        <v/>
      </c>
      <c r="H10" s="7">
        <f>D10-G10</f>
        <v/>
      </c>
      <c r="I10" s="13">
        <f>D10</f>
        <v/>
      </c>
      <c r="J10" s="7">
        <f>I10-D10</f>
        <v/>
      </c>
    </row>
    <row r="11">
      <c r="A11" s="4" t="inlineStr">
        <is>
          <t>Plumbing</t>
        </is>
      </c>
      <c r="B11" s="13" t="n">
        <v>2100000</v>
      </c>
      <c r="C11" s="13" t="n">
        <v>0</v>
      </c>
      <c r="D11" s="7">
        <f>B11+C11</f>
        <v/>
      </c>
      <c r="E11" s="13" t="n">
        <v>1050000</v>
      </c>
      <c r="F11" s="13" t="n">
        <v>315000</v>
      </c>
      <c r="G11" s="7">
        <f>E11+F11</f>
        <v/>
      </c>
      <c r="H11" s="7">
        <f>D11-G11</f>
        <v/>
      </c>
      <c r="I11" s="13">
        <f>D11</f>
        <v/>
      </c>
      <c r="J11" s="7">
        <f>I11-D11</f>
        <v/>
      </c>
    </row>
    <row r="12">
      <c r="A12" s="4" t="inlineStr">
        <is>
          <t>Electrical</t>
        </is>
      </c>
      <c r="B12" s="13" t="n">
        <v>2800000</v>
      </c>
      <c r="C12" s="13" t="n">
        <v>0</v>
      </c>
      <c r="D12" s="7">
        <f>B12+C12</f>
        <v/>
      </c>
      <c r="E12" s="13" t="n">
        <v>1120000</v>
      </c>
      <c r="F12" s="13" t="n">
        <v>560000</v>
      </c>
      <c r="G12" s="7">
        <f>E12+F12</f>
        <v/>
      </c>
      <c r="H12" s="7">
        <f>D12-G12</f>
        <v/>
      </c>
      <c r="I12" s="13">
        <f>D12</f>
        <v/>
      </c>
      <c r="J12" s="7">
        <f>I12-D12</f>
        <v/>
      </c>
    </row>
    <row r="13">
      <c r="A13" s="4" t="inlineStr">
        <is>
          <t>Fire Protection</t>
        </is>
      </c>
      <c r="B13" s="13" t="n">
        <v>950000</v>
      </c>
      <c r="C13" s="13" t="n">
        <v>0</v>
      </c>
      <c r="D13" s="7">
        <f>B13+C13</f>
        <v/>
      </c>
      <c r="E13" s="13" t="n">
        <v>285000</v>
      </c>
      <c r="F13" s="13" t="n">
        <v>142500</v>
      </c>
      <c r="G13" s="7">
        <f>E13+F13</f>
        <v/>
      </c>
      <c r="H13" s="7">
        <f>D13-G13</f>
        <v/>
      </c>
      <c r="I13" s="13">
        <f>D13</f>
        <v/>
      </c>
      <c r="J13" s="7">
        <f>I13-D13</f>
        <v/>
      </c>
    </row>
    <row r="14">
      <c r="A14" s="4" t="inlineStr">
        <is>
          <t>Exterior Improvements &amp; Landscaping</t>
        </is>
      </c>
      <c r="B14" s="13" t="n">
        <v>1200000</v>
      </c>
      <c r="C14" s="13" t="n">
        <v>0</v>
      </c>
      <c r="D14" s="7">
        <f>B14+C14</f>
        <v/>
      </c>
      <c r="E14" s="13" t="n">
        <v>0</v>
      </c>
      <c r="F14" s="13" t="n">
        <v>0</v>
      </c>
      <c r="G14" s="7">
        <f>E14+F14</f>
        <v/>
      </c>
      <c r="H14" s="7">
        <f>D14-G14</f>
        <v/>
      </c>
      <c r="I14" s="13">
        <f>D14</f>
        <v/>
      </c>
      <c r="J14" s="7">
        <f>I14-D14</f>
        <v/>
      </c>
    </row>
    <row r="15">
      <c r="A15" s="2" t="inlineStr">
        <is>
          <t>SOFT COSTS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4" t="inlineStr">
        <is>
          <t>Architecture &amp; Engineering</t>
        </is>
      </c>
      <c r="B16" s="13" t="n">
        <v>1800000</v>
      </c>
      <c r="C16" s="13" t="n">
        <v>0</v>
      </c>
      <c r="D16" s="7">
        <f>B16+C16</f>
        <v/>
      </c>
      <c r="E16" s="13" t="n">
        <v>1620000</v>
      </c>
      <c r="F16" s="13" t="n">
        <v>90000</v>
      </c>
      <c r="G16" s="7">
        <f>E16+F16</f>
        <v/>
      </c>
      <c r="H16" s="7">
        <f>D16-G16</f>
        <v/>
      </c>
      <c r="I16" s="13">
        <f>D16</f>
        <v/>
      </c>
      <c r="J16" s="7">
        <f>I16-D16</f>
        <v/>
      </c>
    </row>
    <row r="17">
      <c r="A17" s="4" t="inlineStr">
        <is>
          <t>Permits &amp; Impact Fees</t>
        </is>
      </c>
      <c r="B17" s="13" t="n">
        <v>950000</v>
      </c>
      <c r="C17" s="13" t="n">
        <v>0</v>
      </c>
      <c r="D17" s="7">
        <f>B17+C17</f>
        <v/>
      </c>
      <c r="E17" s="13" t="n">
        <v>950000</v>
      </c>
      <c r="F17" s="13" t="n">
        <v>0</v>
      </c>
      <c r="G17" s="7">
        <f>E17+F17</f>
        <v/>
      </c>
      <c r="H17" s="7">
        <f>D17-G17</f>
        <v/>
      </c>
      <c r="I17" s="13">
        <f>D17</f>
        <v/>
      </c>
      <c r="J17" s="7">
        <f>I17-D17</f>
        <v/>
      </c>
    </row>
    <row r="18">
      <c r="A18" s="4" t="inlineStr">
        <is>
          <t>Legal &amp; Title</t>
        </is>
      </c>
      <c r="B18" s="13" t="n">
        <v>350000</v>
      </c>
      <c r="C18" s="13" t="n">
        <v>0</v>
      </c>
      <c r="D18" s="7">
        <f>B18+C18</f>
        <v/>
      </c>
      <c r="E18" s="13" t="n">
        <v>280000</v>
      </c>
      <c r="F18" s="13" t="n">
        <v>35000</v>
      </c>
      <c r="G18" s="7">
        <f>E18+F18</f>
        <v/>
      </c>
      <c r="H18" s="7">
        <f>D18-G18</f>
        <v/>
      </c>
      <c r="I18" s="13">
        <f>D18</f>
        <v/>
      </c>
      <c r="J18" s="7">
        <f>I18-D18</f>
        <v/>
      </c>
    </row>
    <row r="19">
      <c r="A19" s="4" t="inlineStr">
        <is>
          <t>Builder's Risk Insurance</t>
        </is>
      </c>
      <c r="B19" s="13" t="n">
        <v>425000</v>
      </c>
      <c r="C19" s="13" t="n">
        <v>0</v>
      </c>
      <c r="D19" s="7">
        <f>B19+C19</f>
        <v/>
      </c>
      <c r="E19" s="13" t="n">
        <v>297500</v>
      </c>
      <c r="F19" s="13" t="n">
        <v>42500</v>
      </c>
      <c r="G19" s="7">
        <f>E19+F19</f>
        <v/>
      </c>
      <c r="H19" s="7">
        <f>D19-G19</f>
        <v/>
      </c>
      <c r="I19" s="13">
        <f>D19</f>
        <v/>
      </c>
      <c r="J19" s="7">
        <f>I19-D19</f>
        <v/>
      </c>
    </row>
    <row r="20">
      <c r="A20" s="2" t="inlineStr">
        <is>
          <t>FINANCING COSTS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4" t="inlineStr">
        <is>
          <t>Loan Origination &amp; Fees</t>
        </is>
      </c>
      <c r="B21" s="13" t="n">
        <v>575000</v>
      </c>
      <c r="C21" s="13" t="n">
        <v>0</v>
      </c>
      <c r="D21" s="7">
        <f>B21+C21</f>
        <v/>
      </c>
      <c r="E21" s="13" t="n">
        <v>575000</v>
      </c>
      <c r="F21" s="13" t="n">
        <v>0</v>
      </c>
      <c r="G21" s="7">
        <f>E21+F21</f>
        <v/>
      </c>
      <c r="H21" s="7">
        <f>D21-G21</f>
        <v/>
      </c>
      <c r="I21" s="13">
        <f>D21</f>
        <v/>
      </c>
      <c r="J21" s="7">
        <f>I21-D21</f>
        <v/>
      </c>
    </row>
    <row r="22">
      <c r="A22" s="4" t="inlineStr">
        <is>
          <t>Capitalized Interest</t>
        </is>
      </c>
      <c r="B22" s="13" t="n">
        <v>1700000</v>
      </c>
      <c r="C22" s="13" t="n">
        <v>0</v>
      </c>
      <c r="D22" s="7">
        <f>B22+C22</f>
        <v/>
      </c>
      <c r="E22" s="13" t="n">
        <v>1020000</v>
      </c>
      <c r="F22" s="13" t="n">
        <v>121500</v>
      </c>
      <c r="G22" s="7">
        <f>E22+F22</f>
        <v/>
      </c>
      <c r="H22" s="7">
        <f>D22-G22</f>
        <v/>
      </c>
      <c r="I22" s="13">
        <f>D22</f>
        <v/>
      </c>
      <c r="J22" s="7">
        <f>I22-D22</f>
        <v/>
      </c>
    </row>
    <row r="23" ht="6" customHeight="1"/>
    <row r="24">
      <c r="A24" s="21" t="inlineStr">
        <is>
          <t>HARD COSTS SUBTOTAL</t>
        </is>
      </c>
      <c r="B24" s="14">
        <f>B3+B4+B5+B6+B7+B8+B9+B10+B11+B12+B13+B14</f>
        <v/>
      </c>
      <c r="C24" s="14">
        <f>C3+C4+C5+C6+C7+C8+C9+C10+C11+C12+C13+C14</f>
        <v/>
      </c>
      <c r="D24" s="14">
        <f>B24+C24</f>
        <v/>
      </c>
      <c r="E24" s="14">
        <f>E3+E4+E5+E6+E7+E8+E9+E10+E11+E12+E13+E14</f>
        <v/>
      </c>
      <c r="F24" s="14">
        <f>F3+F4+F5+F6+F7+F8+F9+F10+F11+F12+F13+F14</f>
        <v/>
      </c>
      <c r="G24" s="14">
        <f>E24+F24</f>
        <v/>
      </c>
      <c r="H24" s="14">
        <f>D24-G24</f>
        <v/>
      </c>
      <c r="I24" s="14">
        <f>I3+I4+I5+I6+I7+I8+I9+I10+I11+I12+I13+I14</f>
        <v/>
      </c>
      <c r="J24" s="14">
        <f>I24-D24</f>
        <v/>
      </c>
    </row>
    <row r="25">
      <c r="A25" s="21" t="inlineStr">
        <is>
          <t>SOFT COSTS SUBTOTAL</t>
        </is>
      </c>
      <c r="B25" s="14">
        <f>B16+B17+B18+B19</f>
        <v/>
      </c>
      <c r="C25" s="14">
        <f>C16+C17+C18+C19</f>
        <v/>
      </c>
      <c r="D25" s="14">
        <f>B25+C25</f>
        <v/>
      </c>
      <c r="E25" s="14">
        <f>E16+E17+E18+E19</f>
        <v/>
      </c>
      <c r="F25" s="14">
        <f>F16+F17+F18+F19</f>
        <v/>
      </c>
      <c r="G25" s="14">
        <f>E25+F25</f>
        <v/>
      </c>
      <c r="H25" s="14">
        <f>D25-G25</f>
        <v/>
      </c>
      <c r="I25" s="14">
        <f>I16+I17+I18+I19</f>
        <v/>
      </c>
      <c r="J25" s="14">
        <f>I25-D25</f>
        <v/>
      </c>
    </row>
    <row r="26">
      <c r="A26" s="21" t="inlineStr">
        <is>
          <t>FINANCING COSTS SUBTOTAL</t>
        </is>
      </c>
      <c r="B26" s="14">
        <f>B21+B22</f>
        <v/>
      </c>
      <c r="C26" s="14">
        <f>C21+C22</f>
        <v/>
      </c>
      <c r="D26" s="14">
        <f>B26+C26</f>
        <v/>
      </c>
      <c r="E26" s="14">
        <f>E21+E22</f>
        <v/>
      </c>
      <c r="F26" s="14">
        <f>F21+F22</f>
        <v/>
      </c>
      <c r="G26" s="14">
        <f>E26+F26</f>
        <v/>
      </c>
      <c r="H26" s="14">
        <f>D26-G26</f>
        <v/>
      </c>
      <c r="I26" s="14">
        <f>I21+I22</f>
        <v/>
      </c>
      <c r="J26" s="14">
        <f>I26-D26</f>
        <v/>
      </c>
    </row>
    <row r="27" ht="6" customHeight="1"/>
    <row r="28">
      <c r="A28" s="24" t="inlineStr">
        <is>
          <t>TOTAL PROJECT BUDGET</t>
        </is>
      </c>
      <c r="B28" s="25">
        <f>B24+B25+B26</f>
        <v/>
      </c>
      <c r="C28" s="25">
        <f>C24+C25+C26</f>
        <v/>
      </c>
      <c r="D28" s="25">
        <f>B28+C28</f>
        <v/>
      </c>
      <c r="E28" s="25">
        <f>E24+E25+E26</f>
        <v/>
      </c>
      <c r="F28" s="25">
        <f>F24+F25+F26</f>
        <v/>
      </c>
      <c r="G28" s="25">
        <f>E28+F28</f>
        <v/>
      </c>
      <c r="H28" s="25">
        <f>D28-G28</f>
        <v/>
      </c>
      <c r="I28" s="25">
        <f>I24+I25+I26</f>
        <v/>
      </c>
      <c r="J28" s="25">
        <f>I28-D28</f>
        <v/>
      </c>
    </row>
  </sheetData>
  <conditionalFormatting sqref="J3:J22">
    <cfRule type="cellIs" priority="1" operator="greaterThan" dxfId="3">
      <formula>0</formula>
    </cfRule>
    <cfRule type="cellIs" priority="2" operator="lessThan" dxfId="0">
      <formula>0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11010"/>
    <outlinePr summaryBelow="1" summaryRight="1"/>
    <pageSetUpPr/>
  </sheetPr>
  <dimension ref="A1:J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25" customWidth="1" min="10" max="10"/>
  </cols>
  <sheetData>
    <row r="1">
      <c r="A1" s="17" t="inlineStr">
        <is>
          <t>Company Name</t>
        </is>
      </c>
      <c r="B1" s="17" t="inlineStr">
        <is>
          <t>Trade</t>
        </is>
      </c>
      <c r="C1" s="17" t="inlineStr">
        <is>
          <t>Contract
Amount</t>
        </is>
      </c>
      <c r="D1" s="17" t="inlineStr">
        <is>
          <t>Paid to
Date</t>
        </is>
      </c>
      <c r="E1" s="17" t="inlineStr">
        <is>
          <t>Due This
Draw</t>
        </is>
      </c>
      <c r="F1" s="17" t="inlineStr">
        <is>
          <t>Balance</t>
        </is>
      </c>
      <c r="G1" s="17" t="inlineStr">
        <is>
          <t>Conditional
Progress</t>
        </is>
      </c>
      <c r="H1" s="17" t="inlineStr">
        <is>
          <t>Unconditional
Progress</t>
        </is>
      </c>
      <c r="I1" s="17" t="inlineStr">
        <is>
          <t>Signature
Date</t>
        </is>
      </c>
      <c r="J1" s="17" t="inlineStr">
        <is>
          <t>Notes</t>
        </is>
      </c>
    </row>
    <row r="2">
      <c r="A2" s="5" t="inlineStr">
        <is>
          <t>Great Lakes Excavating</t>
        </is>
      </c>
      <c r="B2" s="5" t="inlineStr">
        <is>
          <t>Site Work</t>
        </is>
      </c>
      <c r="C2" s="13" t="n">
        <v>2850000</v>
      </c>
      <c r="D2" s="13" t="n">
        <v>2565000</v>
      </c>
      <c r="E2" s="13" t="n">
        <v>0</v>
      </c>
      <c r="F2" s="7">
        <f>C2-D2-E2</f>
        <v/>
      </c>
      <c r="G2" s="18" t="inlineStr">
        <is>
          <t>N/A</t>
        </is>
      </c>
      <c r="H2" s="18" t="inlineStr">
        <is>
          <t>Received</t>
        </is>
      </c>
      <c r="I2" s="18" t="inlineStr">
        <is>
          <t>2026-03-05</t>
        </is>
      </c>
      <c r="J2" s="4" t="inlineStr">
        <is>
          <t>Complete — final waiver pending retainage release</t>
        </is>
      </c>
    </row>
    <row r="3">
      <c r="A3" s="5" t="inlineStr">
        <is>
          <t>Motor City Concrete</t>
        </is>
      </c>
      <c r="B3" s="5" t="inlineStr">
        <is>
          <t>Concrete</t>
        </is>
      </c>
      <c r="C3" s="13" t="n">
        <v>5200000</v>
      </c>
      <c r="D3" s="13" t="n">
        <v>4680000</v>
      </c>
      <c r="E3" s="13" t="n">
        <v>0</v>
      </c>
      <c r="F3" s="7">
        <f>C3-D3-E3</f>
        <v/>
      </c>
      <c r="G3" s="18" t="inlineStr">
        <is>
          <t>N/A</t>
        </is>
      </c>
      <c r="H3" s="18" t="inlineStr">
        <is>
          <t>Received</t>
        </is>
      </c>
      <c r="I3" s="18" t="inlineStr">
        <is>
          <t>2026-03-08</t>
        </is>
      </c>
      <c r="J3" s="4" t="inlineStr">
        <is>
          <t>Complete</t>
        </is>
      </c>
    </row>
    <row r="4">
      <c r="A4" s="5" t="inlineStr">
        <is>
          <t>Ironworkers Local 25 Steel</t>
        </is>
      </c>
      <c r="B4" s="5" t="inlineStr">
        <is>
          <t>Structural Steel</t>
        </is>
      </c>
      <c r="C4" s="13" t="n">
        <v>4100000</v>
      </c>
      <c r="D4" s="13" t="n">
        <v>3321000</v>
      </c>
      <c r="E4" s="13" t="n">
        <v>369000</v>
      </c>
      <c r="F4" s="7">
        <f>C4-D4-E4</f>
        <v/>
      </c>
      <c r="G4" s="18" t="inlineStr">
        <is>
          <t>Received</t>
        </is>
      </c>
      <c r="H4" s="18" t="inlineStr">
        <is>
          <t>Received</t>
        </is>
      </c>
      <c r="I4" s="18" t="inlineStr">
        <is>
          <t>2026-03-28</t>
        </is>
      </c>
      <c r="J4" s="4" t="inlineStr"/>
    </row>
    <row r="5">
      <c r="A5" s="5" t="inlineStr">
        <is>
          <t>Midwest Framing Corp</t>
        </is>
      </c>
      <c r="B5" s="5" t="inlineStr">
        <is>
          <t>Rough Carpentry</t>
        </is>
      </c>
      <c r="C5" s="13" t="n">
        <v>3800000</v>
      </c>
      <c r="D5" s="13" t="n">
        <v>2052000</v>
      </c>
      <c r="E5" s="13" t="n">
        <v>684000</v>
      </c>
      <c r="F5" s="7">
        <f>C5-D5-E5</f>
        <v/>
      </c>
      <c r="G5" s="18" t="inlineStr">
        <is>
          <t>Received</t>
        </is>
      </c>
      <c r="H5" s="18" t="inlineStr">
        <is>
          <t>Received</t>
        </is>
      </c>
      <c r="I5" s="18" t="inlineStr">
        <is>
          <t>2026-03-27</t>
        </is>
      </c>
      <c r="J5" s="4" t="inlineStr"/>
    </row>
    <row r="6">
      <c r="A6" s="5" t="inlineStr">
        <is>
          <t>Barrier Systems Inc</t>
        </is>
      </c>
      <c r="B6" s="5" t="inlineStr">
        <is>
          <t>Waterproofing &amp; Insulation</t>
        </is>
      </c>
      <c r="C6" s="13" t="n">
        <v>2200000</v>
      </c>
      <c r="D6" s="13" t="n">
        <v>792000</v>
      </c>
      <c r="E6" s="13" t="n">
        <v>495000</v>
      </c>
      <c r="F6" s="7">
        <f>C6-D6-E6</f>
        <v/>
      </c>
      <c r="G6" s="18" t="inlineStr">
        <is>
          <t>Received</t>
        </is>
      </c>
      <c r="H6" s="18" t="inlineStr">
        <is>
          <t>Pending</t>
        </is>
      </c>
      <c r="I6" s="18" t="inlineStr">
        <is>
          <t>2026-03-29</t>
        </is>
      </c>
      <c r="J6" s="4" t="inlineStr">
        <is>
          <t>Unconditional for Draw 6 still pending</t>
        </is>
      </c>
    </row>
    <row r="7">
      <c r="A7" s="5" t="inlineStr">
        <is>
          <t>Wolverine Glass &amp; Glazing</t>
        </is>
      </c>
      <c r="B7" s="5" t="inlineStr">
        <is>
          <t>Windows &amp; Glazing</t>
        </is>
      </c>
      <c r="C7" s="13" t="n">
        <v>2600000</v>
      </c>
      <c r="D7" s="13" t="n">
        <v>468000</v>
      </c>
      <c r="E7" s="13" t="n">
        <v>585000</v>
      </c>
      <c r="F7" s="7">
        <f>C7-D7-E7</f>
        <v/>
      </c>
      <c r="G7" s="18" t="inlineStr">
        <is>
          <t>Received</t>
        </is>
      </c>
      <c r="H7" s="18" t="inlineStr">
        <is>
          <t>Received</t>
        </is>
      </c>
      <c r="I7" s="18" t="inlineStr">
        <is>
          <t>2026-03-30</t>
        </is>
      </c>
      <c r="J7" s="4" t="inlineStr"/>
    </row>
    <row r="8">
      <c r="A8" s="5" t="inlineStr">
        <is>
          <t>Elite Interior Finishes</t>
        </is>
      </c>
      <c r="B8" s="5" t="inlineStr">
        <is>
          <t>Finishes</t>
        </is>
      </c>
      <c r="C8" s="13" t="n">
        <v>4500000</v>
      </c>
      <c r="D8" s="13" t="n">
        <v>405000</v>
      </c>
      <c r="E8" s="13" t="n">
        <v>810000</v>
      </c>
      <c r="F8" s="7">
        <f>C8-D8-E8</f>
        <v/>
      </c>
      <c r="G8" s="18" t="inlineStr">
        <is>
          <t>Pending</t>
        </is>
      </c>
      <c r="H8" s="18" t="inlineStr">
        <is>
          <t>Received</t>
        </is>
      </c>
      <c r="I8" s="18" t="inlineStr"/>
      <c r="J8" s="4" t="inlineStr">
        <is>
          <t>Conditional waiver requested — awaiting return</t>
        </is>
      </c>
    </row>
    <row r="9">
      <c r="A9" s="5" t="inlineStr">
        <is>
          <t>Comfort Mechanical</t>
        </is>
      </c>
      <c r="B9" s="5" t="inlineStr">
        <is>
          <t>HVAC</t>
        </is>
      </c>
      <c r="C9" s="13" t="n">
        <v>3400000</v>
      </c>
      <c r="D9" s="13" t="n">
        <v>1224000</v>
      </c>
      <c r="E9" s="13" t="n">
        <v>612000</v>
      </c>
      <c r="F9" s="7">
        <f>C9-D9-E9</f>
        <v/>
      </c>
      <c r="G9" s="18" t="inlineStr">
        <is>
          <t>Received</t>
        </is>
      </c>
      <c r="H9" s="18" t="inlineStr">
        <is>
          <t>Received</t>
        </is>
      </c>
      <c r="I9" s="18" t="inlineStr">
        <is>
          <t>2026-03-26</t>
        </is>
      </c>
      <c r="J9" s="4" t="inlineStr"/>
    </row>
    <row r="10">
      <c r="A10" s="5" t="inlineStr">
        <is>
          <t>Allied Plumbing Services</t>
        </is>
      </c>
      <c r="B10" s="5" t="inlineStr">
        <is>
          <t>Plumbing</t>
        </is>
      </c>
      <c r="C10" s="13" t="n">
        <v>2100000</v>
      </c>
      <c r="D10" s="13" t="n">
        <v>945000</v>
      </c>
      <c r="E10" s="13" t="n">
        <v>283500</v>
      </c>
      <c r="F10" s="7">
        <f>C10-D10-E10</f>
        <v/>
      </c>
      <c r="G10" s="18" t="inlineStr">
        <is>
          <t>Received</t>
        </is>
      </c>
      <c r="H10" s="18" t="inlineStr">
        <is>
          <t>Received</t>
        </is>
      </c>
      <c r="I10" s="18" t="inlineStr">
        <is>
          <t>2026-03-25</t>
        </is>
      </c>
      <c r="J10" s="4" t="inlineStr"/>
    </row>
    <row r="11">
      <c r="A11" s="5" t="inlineStr">
        <is>
          <t>PowerLine Electric</t>
        </is>
      </c>
      <c r="B11" s="5" t="inlineStr">
        <is>
          <t>Electrical</t>
        </is>
      </c>
      <c r="C11" s="13" t="n">
        <v>2800000</v>
      </c>
      <c r="D11" s="13" t="n">
        <v>1008000</v>
      </c>
      <c r="E11" s="13" t="n">
        <v>504000</v>
      </c>
      <c r="F11" s="7">
        <f>C11-D11-E11</f>
        <v/>
      </c>
      <c r="G11" s="18" t="inlineStr">
        <is>
          <t>Received</t>
        </is>
      </c>
      <c r="H11" s="18" t="inlineStr">
        <is>
          <t>Missing</t>
        </is>
      </c>
      <c r="I11" s="18" t="inlineStr">
        <is>
          <t>2026-03-28</t>
        </is>
      </c>
      <c r="J11" s="4" t="inlineStr">
        <is>
          <t>Unconditional for Draw 6 missing — follow up</t>
        </is>
      </c>
    </row>
    <row r="12">
      <c r="A12" s="5" t="inlineStr">
        <is>
          <t>FireGuard Sprinkler</t>
        </is>
      </c>
      <c r="B12" s="5" t="inlineStr">
        <is>
          <t>Fire Protection</t>
        </is>
      </c>
      <c r="C12" s="13" t="n">
        <v>950000</v>
      </c>
      <c r="D12" s="13" t="n">
        <v>256500</v>
      </c>
      <c r="E12" s="13" t="n">
        <v>128250</v>
      </c>
      <c r="F12" s="7">
        <f>C12-D12-E12</f>
        <v/>
      </c>
      <c r="G12" s="18" t="inlineStr">
        <is>
          <t>Received</t>
        </is>
      </c>
      <c r="H12" s="18" t="inlineStr">
        <is>
          <t>Received</t>
        </is>
      </c>
      <c r="I12" s="18" t="inlineStr">
        <is>
          <t>2026-03-24</t>
        </is>
      </c>
      <c r="J12" s="4" t="inlineStr"/>
    </row>
    <row r="13">
      <c r="A13" s="5" t="inlineStr">
        <is>
          <t>GreenScape Landscaping</t>
        </is>
      </c>
      <c r="B13" s="5" t="inlineStr">
        <is>
          <t>Landscaping</t>
        </is>
      </c>
      <c r="C13" s="13" t="n">
        <v>1200000</v>
      </c>
      <c r="D13" s="13" t="n">
        <v>0</v>
      </c>
      <c r="E13" s="13" t="n">
        <v>0</v>
      </c>
      <c r="F13" s="7">
        <f>C13-D13-E13</f>
        <v/>
      </c>
      <c r="G13" s="18" t="inlineStr">
        <is>
          <t>N/A</t>
        </is>
      </c>
      <c r="H13" s="18" t="inlineStr">
        <is>
          <t>N/A</t>
        </is>
      </c>
      <c r="I13" s="18" t="inlineStr"/>
      <c r="J13" s="4" t="inlineStr">
        <is>
          <t>Not yet mobilized</t>
        </is>
      </c>
    </row>
    <row r="14" ht="6" customHeight="1"/>
    <row r="15">
      <c r="A15" s="24" t="inlineStr">
        <is>
          <t>TOTALS</t>
        </is>
      </c>
      <c r="C15" s="25">
        <f>SUM(C2:C13)</f>
        <v/>
      </c>
      <c r="D15" s="25">
        <f>SUM(D2:D13)</f>
        <v/>
      </c>
      <c r="E15" s="25">
        <f>SUM(E2:E13)</f>
        <v/>
      </c>
      <c r="F15" s="25">
        <f>SUM(F2:F13)</f>
        <v/>
      </c>
    </row>
    <row r="17">
      <c r="A17" s="29" t="inlineStr">
        <is>
          <t>COMPLIANCE SUMMARY</t>
        </is>
      </c>
    </row>
    <row r="18">
      <c r="A18" s="4" t="inlineStr">
        <is>
          <t>Active Subcontractors</t>
        </is>
      </c>
      <c r="B18" s="30">
        <f>COUNTIF(E2:E13,"&gt;0")+COUNTIF(D2:D13,"&gt;0")-COUNTIFS(E2:E13,"&gt;0",D2:D13,"&gt;0")</f>
        <v/>
      </c>
    </row>
    <row r="19">
      <c r="A19" s="4" t="inlineStr">
        <is>
          <t>Conditional Waivers — Received</t>
        </is>
      </c>
      <c r="B19" s="30">
        <f>COUNTIF(G2:G13,"Received")</f>
        <v/>
      </c>
    </row>
    <row r="20">
      <c r="A20" s="4" t="inlineStr">
        <is>
          <t>Conditional Waivers — Pending</t>
        </is>
      </c>
      <c r="B20" s="30">
        <f>COUNTIF(G2:G13,"Pending")</f>
        <v/>
      </c>
    </row>
    <row r="21">
      <c r="A21" s="4" t="inlineStr">
        <is>
          <t>Conditional Waivers — Missing</t>
        </is>
      </c>
      <c r="B21" s="30">
        <f>COUNTIF(G2:G13,"Missing")</f>
        <v/>
      </c>
    </row>
    <row r="22">
      <c r="A22" s="4" t="inlineStr">
        <is>
          <t>Unconditional Waivers — Received</t>
        </is>
      </c>
      <c r="B22" s="30">
        <f>COUNTIF(H2:H13,"Received")</f>
        <v/>
      </c>
    </row>
    <row r="23">
      <c r="A23" s="4" t="inlineStr">
        <is>
          <t>Unconditional Waivers — Pending/Missing</t>
        </is>
      </c>
      <c r="B23" s="30">
        <f>COUNTIF(H2:H13,"Pending")+COUNTIF(H2:H13,"Missing")</f>
        <v/>
      </c>
    </row>
    <row r="25">
      <c r="A25" s="4" t="inlineStr">
        <is>
          <t>Conditional Compliance %</t>
        </is>
      </c>
      <c r="B25" s="31">
        <f>IF((COUNTIF(G2:G13,"Received")+COUNTIF(G2:G13,"Pending")+COUNTIF(G2:G13,"Missing"))=0,0,COUNTIF(G2:G13,"Received")/(COUNTIF(G2:G13,"Received")+COUNTIF(G2:G13,"Pending")+COUNTIF(G2:G13,"Missing")))</f>
        <v/>
      </c>
    </row>
    <row r="26">
      <c r="A26" s="4" t="inlineStr">
        <is>
          <t>Unconditional Compliance %</t>
        </is>
      </c>
      <c r="B26" s="31">
        <f>IF((COUNTIF(H2:H13,"Received")+COUNTIF(H2:H13,"Pending")+COUNTIF(H2:H13,"Missing"))=0,0,COUNTIF(H2:H13,"Received")/(COUNTIF(H2:H13,"Received")+COUNTIF(H2:H13,"Pending")+COUNTIF(H2:H13,"Missing")))</f>
        <v/>
      </c>
    </row>
  </sheetData>
  <conditionalFormatting sqref="G2:G13">
    <cfRule type="cellIs" priority="1" operator="equal" dxfId="0">
      <formula>"Received"</formula>
    </cfRule>
    <cfRule type="cellIs" priority="2" operator="equal" dxfId="2">
      <formula>"Pending"</formula>
    </cfRule>
    <cfRule type="cellIs" priority="3" operator="equal" dxfId="3">
      <formula>"Missing"</formula>
    </cfRule>
  </conditionalFormatting>
  <conditionalFormatting sqref="H2:H13">
    <cfRule type="cellIs" priority="4" operator="equal" dxfId="0">
      <formula>"Received"</formula>
    </cfRule>
    <cfRule type="cellIs" priority="5" operator="equal" dxfId="2">
      <formula>"Pending"</formula>
    </cfRule>
    <cfRule type="cellIs" priority="6" operator="equal" dxfId="3">
      <formula>"Missing"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2026-04-12T20:42:03Z</dcterms:created>
  <dcterms:modified xmlns:dcterms="http://purl.org/dc/terms/" xmlns:xsi="http://www.w3.org/2001/XMLSchema-instance" xsi:type="dcterms:W3CDTF">2026-04-12T20:42:03Z</dcterms:modified>
</cp:coreProperties>
</file>